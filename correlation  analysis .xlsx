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6ce9bce12833722/Documents/"/>
    </mc:Choice>
  </mc:AlternateContent>
  <xr:revisionPtr revIDLastSave="204" documentId="8_{33404F8A-04B9-48C7-A761-F40C91CF1AA4}" xr6:coauthVersionLast="47" xr6:coauthVersionMax="47" xr10:uidLastSave="{798AE7CD-9D94-40BE-AC8D-ED21AFC5B9CA}"/>
  <bookViews>
    <workbookView xWindow="-108" yWindow="-108" windowWidth="23256" windowHeight="12456" activeTab="1" xr2:uid="{7FE3669B-2607-46DA-A0A6-F2675E42BBB4}"/>
  </bookViews>
  <sheets>
    <sheet name="Sheet4" sheetId="5" r:id="rId1"/>
    <sheet name="Data_set 2" sheetId="1" r:id="rId2"/>
  </sheets>
  <calcPr calcId="0"/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2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3" i="1"/>
  <c r="T3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<sst xmlns="http://schemas.openxmlformats.org/spreadsheetml/2006/main" count="673" uniqueCount="71">
  <si>
    <t>gender</t>
  </si>
  <si>
    <t>age</t>
  </si>
  <si>
    <t>Investment_Avenues</t>
  </si>
  <si>
    <t>Mutual_Funds</t>
  </si>
  <si>
    <t>Equity_Market</t>
  </si>
  <si>
    <t>Debentures</t>
  </si>
  <si>
    <t>Government_Bonds</t>
  </si>
  <si>
    <t>Fixed_Deposits</t>
  </si>
  <si>
    <t>PPF</t>
  </si>
  <si>
    <t>Gold</t>
  </si>
  <si>
    <t>Stock_Marktet</t>
  </si>
  <si>
    <t>Factor</t>
  </si>
  <si>
    <t>Objective</t>
  </si>
  <si>
    <t>Purpose</t>
  </si>
  <si>
    <t>Duration</t>
  </si>
  <si>
    <t>Invest_Monitor</t>
  </si>
  <si>
    <t>Expect</t>
  </si>
  <si>
    <t>Avenue</t>
  </si>
  <si>
    <t>What are your savings objectives?</t>
  </si>
  <si>
    <t>Reason_Equity</t>
  </si>
  <si>
    <t>Reason_Mutual</t>
  </si>
  <si>
    <t>Reason_Bonds</t>
  </si>
  <si>
    <t>Reason_FD</t>
  </si>
  <si>
    <t>Source</t>
  </si>
  <si>
    <t>Female</t>
  </si>
  <si>
    <t>Yes</t>
  </si>
  <si>
    <t>Returns</t>
  </si>
  <si>
    <t>Capital Appreciation</t>
  </si>
  <si>
    <t>Wealth Creation</t>
  </si>
  <si>
    <t>1-3 years</t>
  </si>
  <si>
    <t>Monthly</t>
  </si>
  <si>
    <t>20%-30%</t>
  </si>
  <si>
    <t>Mutual Fund</t>
  </si>
  <si>
    <t>Retirement Plan</t>
  </si>
  <si>
    <t>Better Returns</t>
  </si>
  <si>
    <t>Safe Investment</t>
  </si>
  <si>
    <t>Fixed Returns</t>
  </si>
  <si>
    <t>Newspapers and Magazines</t>
  </si>
  <si>
    <t>No</t>
  </si>
  <si>
    <t>Locking Period</t>
  </si>
  <si>
    <t>More than 5 years</t>
  </si>
  <si>
    <t>Weekly</t>
  </si>
  <si>
    <t>Health Care</t>
  </si>
  <si>
    <t>Dividend</t>
  </si>
  <si>
    <t>High Interest Rates</t>
  </si>
  <si>
    <t>Financial Consultants</t>
  </si>
  <si>
    <t>Male</t>
  </si>
  <si>
    <t>3-5 years</t>
  </si>
  <si>
    <t>Daily</t>
  </si>
  <si>
    <t>Equity</t>
  </si>
  <si>
    <t>Tax Benefits</t>
  </si>
  <si>
    <t>Assured Returns</t>
  </si>
  <si>
    <t>Television</t>
  </si>
  <si>
    <t>Income</t>
  </si>
  <si>
    <t>Less than 1 year</t>
  </si>
  <si>
    <t>10%-20%</t>
  </si>
  <si>
    <t>Fund Diversification</t>
  </si>
  <si>
    <t>Tax Incentives</t>
  </si>
  <si>
    <t>Internet</t>
  </si>
  <si>
    <t>Risk Free</t>
  </si>
  <si>
    <t>Risk</t>
  </si>
  <si>
    <t>30%-40%</t>
  </si>
  <si>
    <t>Liquidity</t>
  </si>
  <si>
    <t>Growth</t>
  </si>
  <si>
    <t>Savings for Future</t>
  </si>
  <si>
    <t>Fixed Deposits</t>
  </si>
  <si>
    <t>Education</t>
  </si>
  <si>
    <t>Public Provident Fund</t>
  </si>
  <si>
    <t xml:space="preserve"> Duration_number </t>
  </si>
  <si>
    <t>expect_number</t>
  </si>
  <si>
    <t>except 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</si>
</sst>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33" borderId="11" xfId="0" applyFont="1" applyFill="1" applyBorder="1" applyAlignment="1">
      <alignment horizontal="center"/>
    </xf>
    <xf numFmtId="0" fontId="0" fillId="33" borderId="0" xfId="0" applyFill="1" applyBorder="1" applyAlignment="1"/>
    <xf numFmtId="0" fontId="0" fillId="33" borderId="10" xfId="0" applyFill="1" applyBorder="1" applyAlignment="1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9"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 VS DURATION_NUMBER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'Data_set 2'!$B$1</c:f>
              <c:strCache>
                <c:ptCount val="1"/>
                <c:pt idx="0">
                  <c:v> Duration_number 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'Data_set 2'!#REF!</c:f>
            </c:numRef>
          </c:xVal>
          <c:yVal>
            <c:numRef>
              <c:f>'Data_set 2'!$B$2:$B$41</c:f>
              <c:numCache>
                <c:formatCode>General</c:formatCode>
                <c:ptCount val="40"/>
                <c:pt idx="0">
                  <c:v>2</c:v>
                </c:pt>
                <c:pt idx="1">
                  <c:v>6</c:v>
                </c:pt>
                <c:pt idx="2">
                  <c:v>4</c:v>
                </c:pt>
                <c:pt idx="3">
                  <c:v>0.5</c:v>
                </c:pt>
                <c:pt idx="4">
                  <c:v>0.5</c:v>
                </c:pt>
                <c:pt idx="5">
                  <c:v>2</c:v>
                </c:pt>
                <c:pt idx="6">
                  <c:v>4</c:v>
                </c:pt>
                <c:pt idx="7">
                  <c:v>4</c:v>
                </c:pt>
                <c:pt idx="8">
                  <c:v>2</c:v>
                </c:pt>
                <c:pt idx="9">
                  <c:v>4</c:v>
                </c:pt>
                <c:pt idx="10">
                  <c:v>4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2</c:v>
                </c:pt>
                <c:pt idx="28">
                  <c:v>2</c:v>
                </c:pt>
                <c:pt idx="29">
                  <c:v>4</c:v>
                </c:pt>
                <c:pt idx="30">
                  <c:v>2</c:v>
                </c:pt>
                <c:pt idx="31">
                  <c:v>4</c:v>
                </c:pt>
                <c:pt idx="32">
                  <c:v>4</c:v>
                </c:pt>
                <c:pt idx="33">
                  <c:v>2</c:v>
                </c:pt>
                <c:pt idx="34">
                  <c:v>2</c:v>
                </c:pt>
                <c:pt idx="35">
                  <c:v>4</c:v>
                </c:pt>
                <c:pt idx="36">
                  <c:v>2</c:v>
                </c:pt>
                <c:pt idx="37">
                  <c:v>4</c:v>
                </c:pt>
                <c:pt idx="38">
                  <c:v>2</c:v>
                </c:pt>
                <c:pt idx="39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A1B-409C-89F2-6C01742E3C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0307360"/>
        <c:axId val="1270307840"/>
      </c:scatterChart>
      <c:valAx>
        <c:axId val="1270307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0307840"/>
        <c:crosses val="autoZero"/>
        <c:crossBetween val="midCat"/>
      </c:valAx>
      <c:valAx>
        <c:axId val="1270307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0307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AGE VS EXCEPT_NUMBER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'Data_set 2'!$C$1</c:f>
              <c:strCache>
                <c:ptCount val="1"/>
                <c:pt idx="0">
                  <c:v>except _number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'Data_set 2'!#REF!</c:f>
            </c:numRef>
          </c:xVal>
          <c:yVal>
            <c:numRef>
              <c:f>'Data_set 2'!$C$2:$C$41</c:f>
              <c:numCache>
                <c:formatCode>General</c:formatCode>
                <c:ptCount val="40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15</c:v>
                </c:pt>
                <c:pt idx="4">
                  <c:v>25</c:v>
                </c:pt>
                <c:pt idx="5">
                  <c:v>35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35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35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  <c:pt idx="28">
                  <c:v>25</c:v>
                </c:pt>
                <c:pt idx="29">
                  <c:v>15</c:v>
                </c:pt>
                <c:pt idx="30">
                  <c:v>15</c:v>
                </c:pt>
                <c:pt idx="31">
                  <c:v>25</c:v>
                </c:pt>
                <c:pt idx="32">
                  <c:v>35</c:v>
                </c:pt>
                <c:pt idx="33">
                  <c:v>25</c:v>
                </c:pt>
                <c:pt idx="34">
                  <c:v>25</c:v>
                </c:pt>
                <c:pt idx="35">
                  <c:v>25</c:v>
                </c:pt>
                <c:pt idx="36">
                  <c:v>25</c:v>
                </c:pt>
                <c:pt idx="37">
                  <c:v>35</c:v>
                </c:pt>
                <c:pt idx="38">
                  <c:v>25</c:v>
                </c:pt>
                <c:pt idx="39">
                  <c:v>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1E-4CDB-ACE3-DC1A88CFDB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0300640"/>
        <c:axId val="1270325120"/>
      </c:scatterChart>
      <c:valAx>
        <c:axId val="1270300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0325120"/>
        <c:crosses val="autoZero"/>
        <c:crossBetween val="midCat"/>
      </c:valAx>
      <c:valAx>
        <c:axId val="1270325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03006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DURATION_NUMBER VS EXCEPTION_NUMBER</a:t>
            </a:r>
          </a:p>
          <a:p>
            <a:pPr>
              <a:defRPr/>
            </a:pPr>
            <a:r>
              <a:rPr lang="en-US" b="1"/>
              <a:t>BUBBLE SIZE =AGE</a:t>
            </a:r>
          </a:p>
        </c:rich>
      </c:tx>
      <c:layout>
        <c:manualLayout>
          <c:xMode val="edge"/>
          <c:yMode val="edge"/>
          <c:x val="0.14070844269466318"/>
          <c:y val="3.2874329704002318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0715223097112861E-2"/>
          <c:y val="0.18413078149920256"/>
          <c:w val="0.9223958880139983"/>
          <c:h val="0.7236911175576739"/>
        </c:manualLayout>
      </c:layout>
      <c:bubbleChart>
        <c:varyColors val="0"/>
        <c:ser>
          <c:idx val="0"/>
          <c:order val="0"/>
          <c:tx>
            <c:strRef>
              <c:f>'Data_set 2'!$C$1</c:f>
              <c:strCache>
                <c:ptCount val="1"/>
                <c:pt idx="0">
                  <c:v>except _number</c:v>
                </c:pt>
              </c:strCache>
            </c:strRef>
          </c:tx>
          <c:spPr>
            <a:solidFill>
              <a:schemeClr val="accent1">
                <a:alpha val="75000"/>
              </a:schemeClr>
            </a:solidFill>
            <a:ln>
              <a:noFill/>
            </a:ln>
            <a:effectLst/>
          </c:spPr>
          <c:invertIfNegative val="0"/>
          <c:xVal>
            <c:numRef>
              <c:f>'Data_set 2'!$B$2:$B$41</c:f>
              <c:numCache>
                <c:formatCode>General</c:formatCode>
                <c:ptCount val="40"/>
                <c:pt idx="0">
                  <c:v>2</c:v>
                </c:pt>
                <c:pt idx="1">
                  <c:v>6</c:v>
                </c:pt>
                <c:pt idx="2">
                  <c:v>4</c:v>
                </c:pt>
                <c:pt idx="3">
                  <c:v>0.5</c:v>
                </c:pt>
                <c:pt idx="4">
                  <c:v>0.5</c:v>
                </c:pt>
                <c:pt idx="5">
                  <c:v>2</c:v>
                </c:pt>
                <c:pt idx="6">
                  <c:v>4</c:v>
                </c:pt>
                <c:pt idx="7">
                  <c:v>4</c:v>
                </c:pt>
                <c:pt idx="8">
                  <c:v>2</c:v>
                </c:pt>
                <c:pt idx="9">
                  <c:v>4</c:v>
                </c:pt>
                <c:pt idx="10">
                  <c:v>4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2</c:v>
                </c:pt>
                <c:pt idx="28">
                  <c:v>2</c:v>
                </c:pt>
                <c:pt idx="29">
                  <c:v>4</c:v>
                </c:pt>
                <c:pt idx="30">
                  <c:v>2</c:v>
                </c:pt>
                <c:pt idx="31">
                  <c:v>4</c:v>
                </c:pt>
                <c:pt idx="32">
                  <c:v>4</c:v>
                </c:pt>
                <c:pt idx="33">
                  <c:v>2</c:v>
                </c:pt>
                <c:pt idx="34">
                  <c:v>2</c:v>
                </c:pt>
                <c:pt idx="35">
                  <c:v>4</c:v>
                </c:pt>
                <c:pt idx="36">
                  <c:v>2</c:v>
                </c:pt>
                <c:pt idx="37">
                  <c:v>4</c:v>
                </c:pt>
                <c:pt idx="38">
                  <c:v>2</c:v>
                </c:pt>
                <c:pt idx="39">
                  <c:v>4</c:v>
                </c:pt>
              </c:numCache>
            </c:numRef>
          </c:xVal>
          <c:yVal>
            <c:numRef>
              <c:f>'Data_set 2'!$C$2:$C$41</c:f>
              <c:numCache>
                <c:formatCode>General</c:formatCode>
                <c:ptCount val="40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15</c:v>
                </c:pt>
                <c:pt idx="4">
                  <c:v>25</c:v>
                </c:pt>
                <c:pt idx="5">
                  <c:v>35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35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35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  <c:pt idx="28">
                  <c:v>25</c:v>
                </c:pt>
                <c:pt idx="29">
                  <c:v>15</c:v>
                </c:pt>
                <c:pt idx="30">
                  <c:v>15</c:v>
                </c:pt>
                <c:pt idx="31">
                  <c:v>25</c:v>
                </c:pt>
                <c:pt idx="32">
                  <c:v>35</c:v>
                </c:pt>
                <c:pt idx="33">
                  <c:v>25</c:v>
                </c:pt>
                <c:pt idx="34">
                  <c:v>25</c:v>
                </c:pt>
                <c:pt idx="35">
                  <c:v>25</c:v>
                </c:pt>
                <c:pt idx="36">
                  <c:v>25</c:v>
                </c:pt>
                <c:pt idx="37">
                  <c:v>35</c:v>
                </c:pt>
                <c:pt idx="38">
                  <c:v>25</c:v>
                </c:pt>
                <c:pt idx="39">
                  <c:v>25</c:v>
                </c:pt>
              </c:numCache>
            </c:numRef>
          </c:yVal>
          <c:bubbleSize>
            <c:numRef>
              <c:f>'Data_set 2'!$D$2:$D$41</c:f>
              <c:numCache>
                <c:formatCode>General</c:formatCode>
                <c:ptCount val="40"/>
                <c:pt idx="0">
                  <c:v>34</c:v>
                </c:pt>
                <c:pt idx="1">
                  <c:v>23</c:v>
                </c:pt>
                <c:pt idx="2">
                  <c:v>30</c:v>
                </c:pt>
                <c:pt idx="3">
                  <c:v>22</c:v>
                </c:pt>
                <c:pt idx="4">
                  <c:v>24</c:v>
                </c:pt>
                <c:pt idx="5">
                  <c:v>24</c:v>
                </c:pt>
                <c:pt idx="6">
                  <c:v>27</c:v>
                </c:pt>
                <c:pt idx="7">
                  <c:v>21</c:v>
                </c:pt>
                <c:pt idx="8">
                  <c:v>35</c:v>
                </c:pt>
                <c:pt idx="9">
                  <c:v>31</c:v>
                </c:pt>
                <c:pt idx="10">
                  <c:v>35</c:v>
                </c:pt>
                <c:pt idx="11">
                  <c:v>29</c:v>
                </c:pt>
                <c:pt idx="12">
                  <c:v>21</c:v>
                </c:pt>
                <c:pt idx="13">
                  <c:v>28</c:v>
                </c:pt>
                <c:pt idx="14">
                  <c:v>25</c:v>
                </c:pt>
                <c:pt idx="15">
                  <c:v>27</c:v>
                </c:pt>
                <c:pt idx="16">
                  <c:v>28</c:v>
                </c:pt>
                <c:pt idx="17">
                  <c:v>27</c:v>
                </c:pt>
                <c:pt idx="18">
                  <c:v>29</c:v>
                </c:pt>
                <c:pt idx="19">
                  <c:v>26</c:v>
                </c:pt>
                <c:pt idx="20">
                  <c:v>29</c:v>
                </c:pt>
                <c:pt idx="21">
                  <c:v>24</c:v>
                </c:pt>
                <c:pt idx="22">
                  <c:v>27</c:v>
                </c:pt>
                <c:pt idx="23">
                  <c:v>25</c:v>
                </c:pt>
                <c:pt idx="24">
                  <c:v>26</c:v>
                </c:pt>
                <c:pt idx="25">
                  <c:v>32</c:v>
                </c:pt>
                <c:pt idx="26">
                  <c:v>26</c:v>
                </c:pt>
                <c:pt idx="27">
                  <c:v>31</c:v>
                </c:pt>
                <c:pt idx="28">
                  <c:v>29</c:v>
                </c:pt>
                <c:pt idx="29">
                  <c:v>34</c:v>
                </c:pt>
                <c:pt idx="30">
                  <c:v>27</c:v>
                </c:pt>
                <c:pt idx="31">
                  <c:v>31</c:v>
                </c:pt>
                <c:pt idx="32">
                  <c:v>27</c:v>
                </c:pt>
                <c:pt idx="33">
                  <c:v>26</c:v>
                </c:pt>
                <c:pt idx="34">
                  <c:v>27</c:v>
                </c:pt>
                <c:pt idx="35">
                  <c:v>30</c:v>
                </c:pt>
                <c:pt idx="36">
                  <c:v>30</c:v>
                </c:pt>
                <c:pt idx="37">
                  <c:v>25</c:v>
                </c:pt>
                <c:pt idx="38">
                  <c:v>31</c:v>
                </c:pt>
                <c:pt idx="39">
                  <c:v>29</c:v>
                </c:pt>
              </c:numCache>
            </c:numRef>
          </c:bubbleSize>
          <c:bubble3D val="1"/>
          <c:extLst>
            <c:ext xmlns:c16="http://schemas.microsoft.com/office/drawing/2014/chart" uri="{C3380CC4-5D6E-409C-BE32-E72D297353CC}">
              <c16:uniqueId val="{00000000-A1FB-4C78-9DED-39E3FDBD6F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397077376"/>
        <c:axId val="397068256"/>
      </c:bubbleChart>
      <c:valAx>
        <c:axId val="397077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7068256"/>
        <c:crosses val="autoZero"/>
        <c:crossBetween val="midCat"/>
      </c:valAx>
      <c:valAx>
        <c:axId val="397068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70773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60960</xdr:colOff>
      <xdr:row>4</xdr:row>
      <xdr:rowOff>160020</xdr:rowOff>
    </xdr:from>
    <xdr:to>
      <xdr:col>5</xdr:col>
      <xdr:colOff>15240</xdr:colOff>
      <xdr:row>21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1F32E85-5B58-1503-674F-FB5692D8BE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129540</xdr:colOff>
      <xdr:row>4</xdr:row>
      <xdr:rowOff>152400</xdr:rowOff>
    </xdr:from>
    <xdr:to>
      <xdr:col>12</xdr:col>
      <xdr:colOff>434340</xdr:colOff>
      <xdr:row>22</xdr:row>
      <xdr:rowOff>7620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7051FB6-99BE-B6C4-ECDE-DA624E433F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541020</xdr:colOff>
      <xdr:row>4</xdr:row>
      <xdr:rowOff>137160</xdr:rowOff>
    </xdr:from>
    <xdr:to>
      <xdr:col>20</xdr:col>
      <xdr:colOff>236220</xdr:colOff>
      <xdr:row>22</xdr:row>
      <xdr:rowOff>30480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3FD2476-DA29-50C2-C3BE-A2579ABCD6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05DE01-9748-4123-A59A-17187050EA8F}" name="Table1" displayName="Table1" ref="A1:AA41" totalsRowShown="0" headerRowDxfId="0" dataDxfId="1">
  <autoFilter ref="A1:AA41" xr:uid="{8705DE01-9748-4123-A59A-17187050EA8F}"/>
  <tableColumns count="27">
    <tableColumn id="1" xr3:uid="{7CDAC85A-2843-4170-B0EF-D5F64BE01307}" name="gender" dataDxfId="28"/>
    <tableColumn id="2" xr3:uid="{F728A288-3C43-4BA0-A02D-A7C85750DD1B}" name=" Duration_number " dataDxfId="27">
      <calculatedColumnFormula>IF(Q2="Less than 1 year",0.5,IF(Q2="More than 5 years",6,(LEFT(Q2,1)+MID(Q2,3,1))/2))</calculatedColumnFormula>
    </tableColumn>
    <tableColumn id="3" xr3:uid="{6BAD921C-6E50-4ECA-BE98-6A84C09C3CF4}" name="except _number" dataDxfId="26">
      <calculatedColumnFormula>IF(S2="10%-20%",15,IF(S2="20%-30%",25,IF(S2="30%-40%",35,"")))</calculatedColumnFormula>
    </tableColumn>
    <tableColumn id="4" xr3:uid="{175C8223-5EA9-4F34-B7C4-930A720C42DC}" name="age" dataDxfId="25"/>
    <tableColumn id="5" xr3:uid="{BF55534B-87F0-4D8D-839E-F1729ECA500C}" name="Investment_Avenues" dataDxfId="24"/>
    <tableColumn id="6" xr3:uid="{B509F8AA-0A5D-4332-8CC5-F90F1E9FAA6D}" name="Mutual_Funds" dataDxfId="23"/>
    <tableColumn id="7" xr3:uid="{E701E988-3E86-4135-95B1-57B6D70F39BC}" name="Equity_Market" dataDxfId="22"/>
    <tableColumn id="8" xr3:uid="{84EE6FF6-B580-4F63-A3C2-CAEEB2B85FEE}" name="Debentures" dataDxfId="21"/>
    <tableColumn id="9" xr3:uid="{9786A06D-280E-4B1B-ADED-5E54111E8632}" name="Government_Bonds" dataDxfId="20"/>
    <tableColumn id="10" xr3:uid="{2AC70781-77DA-4E49-9599-9F06950F9110}" name="Fixed_Deposits" dataDxfId="19"/>
    <tableColumn id="11" xr3:uid="{561991A3-1DEC-4430-A5D6-5D278A5652C4}" name="PPF" dataDxfId="18"/>
    <tableColumn id="12" xr3:uid="{7DDA210E-11C1-411D-BE42-CF6EFD32CA03}" name="Gold" dataDxfId="17"/>
    <tableColumn id="13" xr3:uid="{4A66B750-D748-49B6-9203-779A3AD3DB15}" name="Stock_Marktet" dataDxfId="16"/>
    <tableColumn id="14" xr3:uid="{779F2BE0-9C98-4793-8689-7C8F7A4C99C5}" name="Factor" dataDxfId="15"/>
    <tableColumn id="15" xr3:uid="{97ECC7DB-99D5-4E51-A99D-ADCE0891B518}" name="Objective" dataDxfId="14"/>
    <tableColumn id="16" xr3:uid="{7F8FF83C-B574-4CDF-B7B4-9FF10A386E55}" name="Purpose" dataDxfId="13"/>
    <tableColumn id="17" xr3:uid="{922DBD58-BD02-4723-B841-A44FDF29A88F}" name="Duration" dataDxfId="12"/>
    <tableColumn id="18" xr3:uid="{FF933DBC-47D7-474F-94E5-0388689D6FDA}" name="Invest_Monitor" dataDxfId="11"/>
    <tableColumn id="19" xr3:uid="{05F44EA2-0F4A-4188-8A44-E3867AACC919}" name="Expect" dataDxfId="10"/>
    <tableColumn id="20" xr3:uid="{729F2091-4428-49C5-9932-D4223FA3BD5A}" name="expect_number" dataDxfId="9">
      <calculatedColumnFormula>IF(S2="10%-20%",15,IF(S2="20%-30%",25,IF(S2="30%-40%",35,"")))</calculatedColumnFormula>
    </tableColumn>
    <tableColumn id="21" xr3:uid="{523783B2-D9FF-449C-8C26-3A807FC0B954}" name="Avenue" dataDxfId="8"/>
    <tableColumn id="22" xr3:uid="{31507B6B-4A77-43C6-85E2-5F2D62860C4F}" name="What are your savings objectives?" dataDxfId="7"/>
    <tableColumn id="23" xr3:uid="{0885970C-5E7B-4B16-8DEF-A3FC63C39E50}" name="Reason_Equity" dataDxfId="6"/>
    <tableColumn id="24" xr3:uid="{A811DB8A-018C-4C64-AEC0-40D6C78AB861}" name="Reason_Mutual" dataDxfId="5"/>
    <tableColumn id="25" xr3:uid="{98DBDCEC-2B8C-41E6-8FB5-1009A834D1EC}" name="Reason_Bonds" dataDxfId="4"/>
    <tableColumn id="26" xr3:uid="{7A7EE09E-D70E-4BF5-8EDD-7CFE7D951E2C}" name="Reason_FD" dataDxfId="3"/>
    <tableColumn id="27" xr3:uid="{16EF5086-D9A2-4814-A961-DD4D78887FEE}" name="Source" dataDxfId="2"/>
  </tableColumns>
  <tableStyleInfo name="TableStyleMedium2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23BCB-7E00-452C-AAF7-32819EFA8D52}">
  <dimension ref="A1:D4"/>
  <sheetViews>
    <sheetView workbookViewId="0">
      <selection activeCell="D25" sqref="D25"/>
    </sheetView>
  </sheetViews>
  <sheetFormatPr defaultRowHeight="14.4" x14ac:dyDescent="0.3"/>
  <cols>
    <col min="1" max="1" width="15.6640625" bestFit="1" customWidth="1"/>
    <col min="2" max="2" width="12" bestFit="1" customWidth="1"/>
    <col min="3" max="3" width="16.33203125" bestFit="1" customWidth="1"/>
    <col min="4" max="4" width="14.44140625" bestFit="1" customWidth="1"/>
  </cols>
  <sheetData>
    <row r="1" spans="1:4" x14ac:dyDescent="0.3">
      <c r="A1" s="1"/>
      <c r="B1" s="1" t="s">
        <v>1</v>
      </c>
      <c r="C1" s="1" t="s">
        <v>68</v>
      </c>
      <c r="D1" s="1" t="s">
        <v>70</v>
      </c>
    </row>
    <row r="2" spans="1:4" x14ac:dyDescent="0.3">
      <c r="A2" s="2" t="s">
        <v>1</v>
      </c>
      <c r="B2" s="2">
        <v>1</v>
      </c>
      <c r="C2" s="2"/>
      <c r="D2" s="2"/>
    </row>
    <row r="3" spans="1:4" x14ac:dyDescent="0.3">
      <c r="A3" s="2" t="s">
        <v>68</v>
      </c>
      <c r="B3" s="2">
        <v>5.1755716569689851E-2</v>
      </c>
      <c r="C3" s="2">
        <v>1</v>
      </c>
      <c r="D3" s="2"/>
    </row>
    <row r="4" spans="1:4" ht="15" thickBot="1" x14ac:dyDescent="0.35">
      <c r="A4" s="3" t="s">
        <v>70</v>
      </c>
      <c r="B4" s="3">
        <v>-8.9605620240757883E-2</v>
      </c>
      <c r="C4" s="3">
        <v>0.25822264315920551</v>
      </c>
      <c r="D4" s="3">
        <v>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8AE28-A467-492C-A963-8F1962290EB2}">
  <dimension ref="A1:AA41"/>
  <sheetViews>
    <sheetView tabSelected="1" workbookViewId="0"/>
  </sheetViews>
  <sheetFormatPr defaultRowHeight="14.4" x14ac:dyDescent="0.3"/>
  <cols>
    <col min="2" max="2" width="17.88671875" customWidth="1"/>
    <col min="3" max="4" width="17.44140625" customWidth="1"/>
    <col min="5" max="5" width="19.88671875" customWidth="1"/>
    <col min="6" max="6" width="14.33203125" customWidth="1"/>
    <col min="7" max="7" width="14.6640625" customWidth="1"/>
    <col min="8" max="8" width="12.44140625" customWidth="1"/>
    <col min="9" max="9" width="19" customWidth="1"/>
    <col min="10" max="10" width="15.5546875" customWidth="1"/>
    <col min="11" max="11" width="6.109375" customWidth="1"/>
    <col min="13" max="13" width="14.88671875" customWidth="1"/>
    <col min="14" max="14" width="12.6640625" bestFit="1" customWidth="1"/>
    <col min="15" max="15" width="17.44140625" bestFit="1" customWidth="1"/>
    <col min="16" max="16" width="15.21875" bestFit="1" customWidth="1"/>
    <col min="17" max="17" width="15.109375" bestFit="1" customWidth="1"/>
    <col min="18" max="18" width="15" customWidth="1"/>
    <col min="19" max="19" width="8.77734375" bestFit="1" customWidth="1"/>
    <col min="20" max="20" width="15.77734375" customWidth="1"/>
    <col min="21" max="21" width="18.44140625" bestFit="1" customWidth="1"/>
    <col min="22" max="22" width="30.44140625" customWidth="1"/>
    <col min="23" max="23" width="17.44140625" bestFit="1" customWidth="1"/>
    <col min="24" max="24" width="16.88671875" bestFit="1" customWidth="1"/>
    <col min="25" max="25" width="14.77734375" customWidth="1"/>
    <col min="26" max="26" width="16.109375" bestFit="1" customWidth="1"/>
    <col min="27" max="27" width="23.5546875" bestFit="1" customWidth="1"/>
    <col min="29" max="29" width="32.77734375" customWidth="1"/>
  </cols>
  <sheetData>
    <row r="1" spans="1:27" x14ac:dyDescent="0.3">
      <c r="A1" s="4" t="s">
        <v>0</v>
      </c>
      <c r="B1" s="4" t="s">
        <v>68</v>
      </c>
      <c r="C1" s="4" t="s">
        <v>70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  <c r="T1" s="4" t="s">
        <v>69</v>
      </c>
      <c r="U1" s="4" t="s">
        <v>17</v>
      </c>
      <c r="V1" s="4" t="s">
        <v>18</v>
      </c>
      <c r="W1" s="4" t="s">
        <v>19</v>
      </c>
      <c r="X1" s="4" t="s">
        <v>20</v>
      </c>
      <c r="Y1" s="4" t="s">
        <v>21</v>
      </c>
      <c r="Z1" s="4" t="s">
        <v>22</v>
      </c>
      <c r="AA1" s="4" t="s">
        <v>23</v>
      </c>
    </row>
    <row r="2" spans="1:27" x14ac:dyDescent="0.3">
      <c r="A2" s="4" t="s">
        <v>24</v>
      </c>
      <c r="B2" s="4">
        <f>IF(Q2="Less than 1 year",0.5,IF(Q2="More than 5 years",6,(LEFT(Q2,1)+MID(Q2,3,1))/2))</f>
        <v>2</v>
      </c>
      <c r="C2" s="4">
        <f>IF(S2="10%-20%",15,IF(S2="20%-30%",25,IF(S2="30%-40%",35,"")))</f>
        <v>25</v>
      </c>
      <c r="D2" s="4">
        <v>34</v>
      </c>
      <c r="E2" s="4" t="s">
        <v>25</v>
      </c>
      <c r="F2" s="4">
        <v>1</v>
      </c>
      <c r="G2" s="4">
        <v>2</v>
      </c>
      <c r="H2" s="4">
        <v>5</v>
      </c>
      <c r="I2" s="4">
        <v>3</v>
      </c>
      <c r="J2" s="4">
        <v>7</v>
      </c>
      <c r="K2" s="4">
        <v>6</v>
      </c>
      <c r="L2" s="4">
        <v>4</v>
      </c>
      <c r="M2" s="4" t="s">
        <v>25</v>
      </c>
      <c r="N2" s="4" t="s">
        <v>26</v>
      </c>
      <c r="O2" s="4" t="s">
        <v>27</v>
      </c>
      <c r="P2" s="4" t="s">
        <v>28</v>
      </c>
      <c r="Q2" s="4" t="s">
        <v>29</v>
      </c>
      <c r="R2" s="4" t="s">
        <v>30</v>
      </c>
      <c r="S2" s="4" t="s">
        <v>31</v>
      </c>
      <c r="T2" s="4"/>
      <c r="U2" s="4" t="s">
        <v>32</v>
      </c>
      <c r="V2" s="4" t="s">
        <v>33</v>
      </c>
      <c r="W2" s="4" t="s">
        <v>27</v>
      </c>
      <c r="X2" s="4" t="s">
        <v>34</v>
      </c>
      <c r="Y2" s="4" t="s">
        <v>35</v>
      </c>
      <c r="Z2" s="4" t="s">
        <v>36</v>
      </c>
      <c r="AA2" s="4" t="s">
        <v>37</v>
      </c>
    </row>
    <row r="3" spans="1:27" x14ac:dyDescent="0.3">
      <c r="A3" s="4" t="s">
        <v>24</v>
      </c>
      <c r="B3" s="4">
        <f t="shared" ref="B3:B41" si="0">IF(Q3="Less than 1 year",0.5,IF(Q3="More than 5 years",6,(LEFT(Q3,1)+MID(Q3,3,1))/2))</f>
        <v>6</v>
      </c>
      <c r="C3" s="4">
        <f t="shared" ref="C3:C41" si="1">IF(S3="10%-20%",15,IF(S3="20%-30%",25,IF(S3="30%-40%",35,"")))</f>
        <v>25</v>
      </c>
      <c r="D3" s="4">
        <v>23</v>
      </c>
      <c r="E3" s="4" t="s">
        <v>25</v>
      </c>
      <c r="F3" s="4">
        <v>4</v>
      </c>
      <c r="G3" s="4">
        <v>3</v>
      </c>
      <c r="H3" s="4">
        <v>2</v>
      </c>
      <c r="I3" s="4">
        <v>1</v>
      </c>
      <c r="J3" s="4">
        <v>5</v>
      </c>
      <c r="K3" s="4">
        <v>6</v>
      </c>
      <c r="L3" s="4">
        <v>7</v>
      </c>
      <c r="M3" s="4" t="s">
        <v>38</v>
      </c>
      <c r="N3" s="4" t="s">
        <v>39</v>
      </c>
      <c r="O3" s="4" t="s">
        <v>27</v>
      </c>
      <c r="P3" s="4" t="s">
        <v>28</v>
      </c>
      <c r="Q3" s="4" t="s">
        <v>40</v>
      </c>
      <c r="R3" s="4" t="s">
        <v>41</v>
      </c>
      <c r="S3" s="4" t="s">
        <v>31</v>
      </c>
      <c r="T3" s="4" cm="1">
        <f t="array" aca="1" ref="T3" ca="1">+T2+T3:T41+T3:T42+T2+T3:T41</f>
        <v>0</v>
      </c>
      <c r="U3" s="4" t="s">
        <v>32</v>
      </c>
      <c r="V3" s="4" t="s">
        <v>42</v>
      </c>
      <c r="W3" s="4" t="s">
        <v>43</v>
      </c>
      <c r="X3" s="4" t="s">
        <v>34</v>
      </c>
      <c r="Y3" s="4" t="s">
        <v>35</v>
      </c>
      <c r="Z3" s="4" t="s">
        <v>44</v>
      </c>
      <c r="AA3" s="4" t="s">
        <v>45</v>
      </c>
    </row>
    <row r="4" spans="1:27" x14ac:dyDescent="0.3">
      <c r="A4" s="4" t="s">
        <v>46</v>
      </c>
      <c r="B4" s="4">
        <f t="shared" si="0"/>
        <v>4</v>
      </c>
      <c r="C4" s="4">
        <f t="shared" si="1"/>
        <v>25</v>
      </c>
      <c r="D4" s="4">
        <v>30</v>
      </c>
      <c r="E4" s="4" t="s">
        <v>25</v>
      </c>
      <c r="F4" s="4">
        <v>3</v>
      </c>
      <c r="G4" s="4">
        <v>6</v>
      </c>
      <c r="H4" s="4">
        <v>4</v>
      </c>
      <c r="I4" s="4">
        <v>2</v>
      </c>
      <c r="J4" s="4">
        <v>5</v>
      </c>
      <c r="K4" s="4">
        <v>1</v>
      </c>
      <c r="L4" s="4">
        <v>7</v>
      </c>
      <c r="M4" s="4" t="s">
        <v>25</v>
      </c>
      <c r="N4" s="4" t="s">
        <v>26</v>
      </c>
      <c r="O4" s="4" t="s">
        <v>27</v>
      </c>
      <c r="P4" s="4" t="s">
        <v>28</v>
      </c>
      <c r="Q4" s="4" t="s">
        <v>47</v>
      </c>
      <c r="R4" s="4" t="s">
        <v>48</v>
      </c>
      <c r="S4" s="4" t="s">
        <v>31</v>
      </c>
      <c r="T4" s="4">
        <f t="shared" ref="T3:T41" si="2">IF(S4="10%-20%",15,IF(S4="20%-30%",25,IF(S4="30%-40%",35,"")))</f>
        <v>25</v>
      </c>
      <c r="U4" s="4" t="s">
        <v>49</v>
      </c>
      <c r="V4" s="4" t="s">
        <v>33</v>
      </c>
      <c r="W4" s="4" t="s">
        <v>27</v>
      </c>
      <c r="X4" s="4" t="s">
        <v>50</v>
      </c>
      <c r="Y4" s="4" t="s">
        <v>51</v>
      </c>
      <c r="Z4" s="4" t="s">
        <v>36</v>
      </c>
      <c r="AA4" s="4" t="s">
        <v>52</v>
      </c>
    </row>
    <row r="5" spans="1:27" x14ac:dyDescent="0.3">
      <c r="A5" s="4" t="s">
        <v>46</v>
      </c>
      <c r="B5" s="4">
        <f t="shared" si="0"/>
        <v>0.5</v>
      </c>
      <c r="C5" s="4">
        <f t="shared" si="1"/>
        <v>15</v>
      </c>
      <c r="D5" s="4">
        <v>22</v>
      </c>
      <c r="E5" s="4" t="s">
        <v>25</v>
      </c>
      <c r="F5" s="4">
        <v>2</v>
      </c>
      <c r="G5" s="4">
        <v>1</v>
      </c>
      <c r="H5" s="4">
        <v>3</v>
      </c>
      <c r="I5" s="4">
        <v>7</v>
      </c>
      <c r="J5" s="4">
        <v>6</v>
      </c>
      <c r="K5" s="4">
        <v>4</v>
      </c>
      <c r="L5" s="4">
        <v>5</v>
      </c>
      <c r="M5" s="4" t="s">
        <v>25</v>
      </c>
      <c r="N5" s="4" t="s">
        <v>26</v>
      </c>
      <c r="O5" s="4" t="s">
        <v>53</v>
      </c>
      <c r="P5" s="4" t="s">
        <v>28</v>
      </c>
      <c r="Q5" s="4" t="s">
        <v>54</v>
      </c>
      <c r="R5" s="4" t="s">
        <v>48</v>
      </c>
      <c r="S5" s="4" t="s">
        <v>55</v>
      </c>
      <c r="T5" s="4">
        <f t="shared" si="2"/>
        <v>15</v>
      </c>
      <c r="U5" s="4" t="s">
        <v>49</v>
      </c>
      <c r="V5" s="4" t="s">
        <v>33</v>
      </c>
      <c r="W5" s="4" t="s">
        <v>43</v>
      </c>
      <c r="X5" s="4" t="s">
        <v>56</v>
      </c>
      <c r="Y5" s="4" t="s">
        <v>57</v>
      </c>
      <c r="Z5" s="4" t="s">
        <v>44</v>
      </c>
      <c r="AA5" s="4" t="s">
        <v>58</v>
      </c>
    </row>
    <row r="6" spans="1:27" x14ac:dyDescent="0.3">
      <c r="A6" s="4" t="s">
        <v>24</v>
      </c>
      <c r="B6" s="4">
        <f t="shared" si="0"/>
        <v>0.5</v>
      </c>
      <c r="C6" s="4">
        <f t="shared" si="1"/>
        <v>25</v>
      </c>
      <c r="D6" s="4">
        <v>24</v>
      </c>
      <c r="E6" s="4" t="s">
        <v>38</v>
      </c>
      <c r="F6" s="4">
        <v>2</v>
      </c>
      <c r="G6" s="4">
        <v>1</v>
      </c>
      <c r="H6" s="4">
        <v>3</v>
      </c>
      <c r="I6" s="4">
        <v>6</v>
      </c>
      <c r="J6" s="4">
        <v>4</v>
      </c>
      <c r="K6" s="4">
        <v>5</v>
      </c>
      <c r="L6" s="4">
        <v>7</v>
      </c>
      <c r="M6" s="4" t="s">
        <v>38</v>
      </c>
      <c r="N6" s="4" t="s">
        <v>26</v>
      </c>
      <c r="O6" s="4" t="s">
        <v>53</v>
      </c>
      <c r="P6" s="4" t="s">
        <v>28</v>
      </c>
      <c r="Q6" s="4" t="s">
        <v>54</v>
      </c>
      <c r="R6" s="4" t="s">
        <v>48</v>
      </c>
      <c r="S6" s="4" t="s">
        <v>31</v>
      </c>
      <c r="T6" s="4">
        <f t="shared" si="2"/>
        <v>25</v>
      </c>
      <c r="U6" s="4" t="s">
        <v>49</v>
      </c>
      <c r="V6" s="4" t="s">
        <v>33</v>
      </c>
      <c r="W6" s="4" t="s">
        <v>27</v>
      </c>
      <c r="X6" s="4" t="s">
        <v>34</v>
      </c>
      <c r="Y6" s="4" t="s">
        <v>35</v>
      </c>
      <c r="Z6" s="4" t="s">
        <v>59</v>
      </c>
      <c r="AA6" s="4" t="s">
        <v>58</v>
      </c>
    </row>
    <row r="7" spans="1:27" x14ac:dyDescent="0.3">
      <c r="A7" s="4" t="s">
        <v>24</v>
      </c>
      <c r="B7" s="4">
        <f t="shared" si="0"/>
        <v>2</v>
      </c>
      <c r="C7" s="4">
        <f t="shared" si="1"/>
        <v>35</v>
      </c>
      <c r="D7" s="4">
        <v>24</v>
      </c>
      <c r="E7" s="4" t="s">
        <v>38</v>
      </c>
      <c r="F7" s="4">
        <v>7</v>
      </c>
      <c r="G7" s="4">
        <v>5</v>
      </c>
      <c r="H7" s="4">
        <v>4</v>
      </c>
      <c r="I7" s="4">
        <v>6</v>
      </c>
      <c r="J7" s="4">
        <v>3</v>
      </c>
      <c r="K7" s="4">
        <v>1</v>
      </c>
      <c r="L7" s="4">
        <v>2</v>
      </c>
      <c r="M7" s="4" t="s">
        <v>38</v>
      </c>
      <c r="N7" s="4" t="s">
        <v>60</v>
      </c>
      <c r="O7" s="4" t="s">
        <v>27</v>
      </c>
      <c r="P7" s="4" t="s">
        <v>28</v>
      </c>
      <c r="Q7" s="4" t="s">
        <v>29</v>
      </c>
      <c r="R7" s="4" t="s">
        <v>48</v>
      </c>
      <c r="S7" s="4" t="s">
        <v>61</v>
      </c>
      <c r="T7" s="4">
        <f t="shared" si="2"/>
        <v>35</v>
      </c>
      <c r="U7" s="4" t="s">
        <v>32</v>
      </c>
      <c r="V7" s="4" t="s">
        <v>33</v>
      </c>
      <c r="W7" s="4" t="s">
        <v>62</v>
      </c>
      <c r="X7" s="4" t="s">
        <v>56</v>
      </c>
      <c r="Y7" s="4" t="s">
        <v>35</v>
      </c>
      <c r="Z7" s="4" t="s">
        <v>59</v>
      </c>
      <c r="AA7" s="4" t="s">
        <v>58</v>
      </c>
    </row>
    <row r="8" spans="1:27" x14ac:dyDescent="0.3">
      <c r="A8" s="4" t="s">
        <v>24</v>
      </c>
      <c r="B8" s="4">
        <f t="shared" si="0"/>
        <v>4</v>
      </c>
      <c r="C8" s="4">
        <f t="shared" si="1"/>
        <v>25</v>
      </c>
      <c r="D8" s="4">
        <v>27</v>
      </c>
      <c r="E8" s="4" t="s">
        <v>25</v>
      </c>
      <c r="F8" s="4">
        <v>3</v>
      </c>
      <c r="G8" s="4">
        <v>6</v>
      </c>
      <c r="H8" s="4">
        <v>4</v>
      </c>
      <c r="I8" s="4">
        <v>2</v>
      </c>
      <c r="J8" s="4">
        <v>5</v>
      </c>
      <c r="K8" s="4">
        <v>1</v>
      </c>
      <c r="L8" s="4">
        <v>7</v>
      </c>
      <c r="M8" s="4" t="s">
        <v>25</v>
      </c>
      <c r="N8" s="4" t="s">
        <v>26</v>
      </c>
      <c r="O8" s="4" t="s">
        <v>27</v>
      </c>
      <c r="P8" s="4" t="s">
        <v>28</v>
      </c>
      <c r="Q8" s="4" t="s">
        <v>47</v>
      </c>
      <c r="R8" s="4" t="s">
        <v>30</v>
      </c>
      <c r="S8" s="4" t="s">
        <v>31</v>
      </c>
      <c r="T8" s="4">
        <f t="shared" si="2"/>
        <v>25</v>
      </c>
      <c r="U8" s="4" t="s">
        <v>49</v>
      </c>
      <c r="V8" s="4" t="s">
        <v>33</v>
      </c>
      <c r="W8" s="4" t="s">
        <v>27</v>
      </c>
      <c r="X8" s="4" t="s">
        <v>34</v>
      </c>
      <c r="Y8" s="4" t="s">
        <v>51</v>
      </c>
      <c r="Z8" s="4" t="s">
        <v>44</v>
      </c>
      <c r="AA8" s="4" t="s">
        <v>45</v>
      </c>
    </row>
    <row r="9" spans="1:27" x14ac:dyDescent="0.3">
      <c r="A9" s="4" t="s">
        <v>46</v>
      </c>
      <c r="B9" s="4">
        <f t="shared" si="0"/>
        <v>4</v>
      </c>
      <c r="C9" s="4">
        <f t="shared" si="1"/>
        <v>25</v>
      </c>
      <c r="D9" s="4">
        <v>21</v>
      </c>
      <c r="E9" s="4" t="s">
        <v>25</v>
      </c>
      <c r="F9" s="4">
        <v>2</v>
      </c>
      <c r="G9" s="4">
        <v>3</v>
      </c>
      <c r="H9" s="4">
        <v>7</v>
      </c>
      <c r="I9" s="4">
        <v>4</v>
      </c>
      <c r="J9" s="4">
        <v>6</v>
      </c>
      <c r="K9" s="4">
        <v>1</v>
      </c>
      <c r="L9" s="4">
        <v>5</v>
      </c>
      <c r="M9" s="4" t="s">
        <v>25</v>
      </c>
      <c r="N9" s="4" t="s">
        <v>60</v>
      </c>
      <c r="O9" s="4" t="s">
        <v>27</v>
      </c>
      <c r="P9" s="4" t="s">
        <v>28</v>
      </c>
      <c r="Q9" s="4" t="s">
        <v>47</v>
      </c>
      <c r="R9" s="4" t="s">
        <v>30</v>
      </c>
      <c r="S9" s="4" t="s">
        <v>31</v>
      </c>
      <c r="T9" s="4">
        <f t="shared" si="2"/>
        <v>25</v>
      </c>
      <c r="U9" s="4" t="s">
        <v>32</v>
      </c>
      <c r="V9" s="4" t="s">
        <v>33</v>
      </c>
      <c r="W9" s="4" t="s">
        <v>27</v>
      </c>
      <c r="X9" s="4" t="s">
        <v>34</v>
      </c>
      <c r="Y9" s="4" t="s">
        <v>51</v>
      </c>
      <c r="Z9" s="4" t="s">
        <v>59</v>
      </c>
      <c r="AA9" s="4" t="s">
        <v>37</v>
      </c>
    </row>
    <row r="10" spans="1:27" x14ac:dyDescent="0.3">
      <c r="A10" s="4" t="s">
        <v>46</v>
      </c>
      <c r="B10" s="4">
        <f t="shared" si="0"/>
        <v>2</v>
      </c>
      <c r="C10" s="4">
        <f t="shared" si="1"/>
        <v>25</v>
      </c>
      <c r="D10" s="4">
        <v>35</v>
      </c>
      <c r="E10" s="4" t="s">
        <v>25</v>
      </c>
      <c r="F10" s="4">
        <v>2</v>
      </c>
      <c r="G10" s="4">
        <v>4</v>
      </c>
      <c r="H10" s="4">
        <v>7</v>
      </c>
      <c r="I10" s="4">
        <v>5</v>
      </c>
      <c r="J10" s="4">
        <v>3</v>
      </c>
      <c r="K10" s="4">
        <v>1</v>
      </c>
      <c r="L10" s="4">
        <v>6</v>
      </c>
      <c r="M10" s="4" t="s">
        <v>25</v>
      </c>
      <c r="N10" s="4" t="s">
        <v>26</v>
      </c>
      <c r="O10" s="4" t="s">
        <v>63</v>
      </c>
      <c r="P10" s="4" t="s">
        <v>64</v>
      </c>
      <c r="Q10" s="4" t="s">
        <v>29</v>
      </c>
      <c r="R10" s="4" t="s">
        <v>41</v>
      </c>
      <c r="S10" s="4" t="s">
        <v>31</v>
      </c>
      <c r="T10" s="4">
        <f t="shared" si="2"/>
        <v>25</v>
      </c>
      <c r="U10" s="4" t="s">
        <v>49</v>
      </c>
      <c r="V10" s="4" t="s">
        <v>33</v>
      </c>
      <c r="W10" s="4" t="s">
        <v>27</v>
      </c>
      <c r="X10" s="4" t="s">
        <v>56</v>
      </c>
      <c r="Y10" s="4" t="s">
        <v>35</v>
      </c>
      <c r="Z10" s="4" t="s">
        <v>36</v>
      </c>
      <c r="AA10" s="4" t="s">
        <v>52</v>
      </c>
    </row>
    <row r="11" spans="1:27" x14ac:dyDescent="0.3">
      <c r="A11" s="4" t="s">
        <v>46</v>
      </c>
      <c r="B11" s="4">
        <f t="shared" si="0"/>
        <v>4</v>
      </c>
      <c r="C11" s="4">
        <f t="shared" si="1"/>
        <v>35</v>
      </c>
      <c r="D11" s="4">
        <v>31</v>
      </c>
      <c r="E11" s="4" t="s">
        <v>25</v>
      </c>
      <c r="F11" s="4">
        <v>1</v>
      </c>
      <c r="G11" s="4">
        <v>3</v>
      </c>
      <c r="H11" s="4">
        <v>7</v>
      </c>
      <c r="I11" s="4">
        <v>4</v>
      </c>
      <c r="J11" s="4">
        <v>5</v>
      </c>
      <c r="K11" s="4">
        <v>2</v>
      </c>
      <c r="L11" s="4">
        <v>6</v>
      </c>
      <c r="M11" s="4" t="s">
        <v>25</v>
      </c>
      <c r="N11" s="4" t="s">
        <v>26</v>
      </c>
      <c r="O11" s="4" t="s">
        <v>27</v>
      </c>
      <c r="P11" s="4" t="s">
        <v>28</v>
      </c>
      <c r="Q11" s="4" t="s">
        <v>47</v>
      </c>
      <c r="R11" s="4" t="s">
        <v>30</v>
      </c>
      <c r="S11" s="4" t="s">
        <v>61</v>
      </c>
      <c r="T11" s="4">
        <f t="shared" si="2"/>
        <v>35</v>
      </c>
      <c r="U11" s="4" t="s">
        <v>65</v>
      </c>
      <c r="V11" s="4" t="s">
        <v>33</v>
      </c>
      <c r="W11" s="4" t="s">
        <v>27</v>
      </c>
      <c r="X11" s="4" t="s">
        <v>56</v>
      </c>
      <c r="Y11" s="4" t="s">
        <v>51</v>
      </c>
      <c r="Z11" s="4" t="s">
        <v>36</v>
      </c>
      <c r="AA11" s="4" t="s">
        <v>37</v>
      </c>
    </row>
    <row r="12" spans="1:27" x14ac:dyDescent="0.3">
      <c r="A12" s="4" t="s">
        <v>24</v>
      </c>
      <c r="B12" s="4">
        <f t="shared" si="0"/>
        <v>4</v>
      </c>
      <c r="C12" s="4">
        <f t="shared" si="1"/>
        <v>25</v>
      </c>
      <c r="D12" s="4">
        <v>35</v>
      </c>
      <c r="E12" s="4" t="s">
        <v>25</v>
      </c>
      <c r="F12" s="4">
        <v>2</v>
      </c>
      <c r="G12" s="4">
        <v>4</v>
      </c>
      <c r="H12" s="4">
        <v>7</v>
      </c>
      <c r="I12" s="4">
        <v>5</v>
      </c>
      <c r="J12" s="4">
        <v>3</v>
      </c>
      <c r="K12" s="4">
        <v>1</v>
      </c>
      <c r="L12" s="4">
        <v>6</v>
      </c>
      <c r="M12" s="4" t="s">
        <v>25</v>
      </c>
      <c r="N12" s="4" t="s">
        <v>60</v>
      </c>
      <c r="O12" s="4" t="s">
        <v>63</v>
      </c>
      <c r="P12" s="4" t="s">
        <v>64</v>
      </c>
      <c r="Q12" s="4" t="s">
        <v>47</v>
      </c>
      <c r="R12" s="4" t="s">
        <v>30</v>
      </c>
      <c r="S12" s="4" t="s">
        <v>31</v>
      </c>
      <c r="T12" s="4">
        <f t="shared" si="2"/>
        <v>25</v>
      </c>
      <c r="U12" s="4" t="s">
        <v>32</v>
      </c>
      <c r="V12" s="4" t="s">
        <v>33</v>
      </c>
      <c r="W12" s="4" t="s">
        <v>27</v>
      </c>
      <c r="X12" s="4" t="s">
        <v>34</v>
      </c>
      <c r="Y12" s="4" t="s">
        <v>51</v>
      </c>
      <c r="Z12" s="4" t="s">
        <v>59</v>
      </c>
      <c r="AA12" s="4" t="s">
        <v>45</v>
      </c>
    </row>
    <row r="13" spans="1:27" x14ac:dyDescent="0.3">
      <c r="A13" s="4" t="s">
        <v>46</v>
      </c>
      <c r="B13" s="4">
        <f t="shared" si="0"/>
        <v>2</v>
      </c>
      <c r="C13" s="4">
        <f t="shared" si="1"/>
        <v>25</v>
      </c>
      <c r="D13" s="4">
        <v>29</v>
      </c>
      <c r="E13" s="4" t="s">
        <v>25</v>
      </c>
      <c r="F13" s="4">
        <v>2</v>
      </c>
      <c r="G13" s="4">
        <v>5</v>
      </c>
      <c r="H13" s="4">
        <v>7</v>
      </c>
      <c r="I13" s="4">
        <v>6</v>
      </c>
      <c r="J13" s="4">
        <v>3</v>
      </c>
      <c r="K13" s="4">
        <v>1</v>
      </c>
      <c r="L13" s="4">
        <v>4</v>
      </c>
      <c r="M13" s="4" t="s">
        <v>25</v>
      </c>
      <c r="N13" s="4" t="s">
        <v>60</v>
      </c>
      <c r="O13" s="4" t="s">
        <v>27</v>
      </c>
      <c r="P13" s="4" t="s">
        <v>28</v>
      </c>
      <c r="Q13" s="4" t="s">
        <v>29</v>
      </c>
      <c r="R13" s="4" t="s">
        <v>30</v>
      </c>
      <c r="S13" s="4" t="s">
        <v>31</v>
      </c>
      <c r="T13" s="4">
        <f t="shared" si="2"/>
        <v>25</v>
      </c>
      <c r="U13" s="4" t="s">
        <v>32</v>
      </c>
      <c r="V13" s="4" t="s">
        <v>33</v>
      </c>
      <c r="W13" s="4" t="s">
        <v>27</v>
      </c>
      <c r="X13" s="4" t="s">
        <v>56</v>
      </c>
      <c r="Y13" s="4" t="s">
        <v>51</v>
      </c>
      <c r="Z13" s="4" t="s">
        <v>36</v>
      </c>
      <c r="AA13" s="4" t="s">
        <v>45</v>
      </c>
    </row>
    <row r="14" spans="1:27" x14ac:dyDescent="0.3">
      <c r="A14" s="4" t="s">
        <v>24</v>
      </c>
      <c r="B14" s="4">
        <f t="shared" si="0"/>
        <v>2</v>
      </c>
      <c r="C14" s="4">
        <f t="shared" si="1"/>
        <v>25</v>
      </c>
      <c r="D14" s="4">
        <v>21</v>
      </c>
      <c r="E14" s="4" t="s">
        <v>38</v>
      </c>
      <c r="F14" s="4">
        <v>1</v>
      </c>
      <c r="G14" s="4">
        <v>2</v>
      </c>
      <c r="H14" s="4">
        <v>3</v>
      </c>
      <c r="I14" s="4">
        <v>4</v>
      </c>
      <c r="J14" s="4">
        <v>5</v>
      </c>
      <c r="K14" s="4">
        <v>6</v>
      </c>
      <c r="L14" s="4">
        <v>7</v>
      </c>
      <c r="M14" s="4" t="s">
        <v>38</v>
      </c>
      <c r="N14" s="4" t="s">
        <v>26</v>
      </c>
      <c r="O14" s="4" t="s">
        <v>27</v>
      </c>
      <c r="P14" s="4" t="s">
        <v>64</v>
      </c>
      <c r="Q14" s="4" t="s">
        <v>29</v>
      </c>
      <c r="R14" s="4" t="s">
        <v>41</v>
      </c>
      <c r="S14" s="4" t="s">
        <v>31</v>
      </c>
      <c r="T14" s="4">
        <f t="shared" si="2"/>
        <v>25</v>
      </c>
      <c r="U14" s="4" t="s">
        <v>32</v>
      </c>
      <c r="V14" s="4" t="s">
        <v>66</v>
      </c>
      <c r="W14" s="4" t="s">
        <v>43</v>
      </c>
      <c r="X14" s="4" t="s">
        <v>34</v>
      </c>
      <c r="Y14" s="4" t="s">
        <v>35</v>
      </c>
      <c r="Z14" s="4" t="s">
        <v>59</v>
      </c>
      <c r="AA14" s="4" t="s">
        <v>58</v>
      </c>
    </row>
    <row r="15" spans="1:27" x14ac:dyDescent="0.3">
      <c r="A15" s="4" t="s">
        <v>24</v>
      </c>
      <c r="B15" s="4">
        <f t="shared" si="0"/>
        <v>2</v>
      </c>
      <c r="C15" s="4">
        <f t="shared" si="1"/>
        <v>25</v>
      </c>
      <c r="D15" s="4">
        <v>28</v>
      </c>
      <c r="E15" s="4" t="s">
        <v>25</v>
      </c>
      <c r="F15" s="4">
        <v>2</v>
      </c>
      <c r="G15" s="4">
        <v>3</v>
      </c>
      <c r="H15" s="4">
        <v>7</v>
      </c>
      <c r="I15" s="4">
        <v>4</v>
      </c>
      <c r="J15" s="4">
        <v>5</v>
      </c>
      <c r="K15" s="4">
        <v>1</v>
      </c>
      <c r="L15" s="4">
        <v>6</v>
      </c>
      <c r="M15" s="4" t="s">
        <v>25</v>
      </c>
      <c r="N15" s="4" t="s">
        <v>26</v>
      </c>
      <c r="O15" s="4" t="s">
        <v>27</v>
      </c>
      <c r="P15" s="4" t="s">
        <v>28</v>
      </c>
      <c r="Q15" s="4" t="s">
        <v>29</v>
      </c>
      <c r="R15" s="4" t="s">
        <v>30</v>
      </c>
      <c r="S15" s="4" t="s">
        <v>31</v>
      </c>
      <c r="T15" s="4">
        <f t="shared" si="2"/>
        <v>25</v>
      </c>
      <c r="U15" s="4" t="s">
        <v>32</v>
      </c>
      <c r="V15" s="4" t="s">
        <v>33</v>
      </c>
      <c r="W15" s="4" t="s">
        <v>27</v>
      </c>
      <c r="X15" s="4" t="s">
        <v>56</v>
      </c>
      <c r="Y15" s="4" t="s">
        <v>51</v>
      </c>
      <c r="Z15" s="4" t="s">
        <v>59</v>
      </c>
      <c r="AA15" s="4" t="s">
        <v>37</v>
      </c>
    </row>
    <row r="16" spans="1:27" x14ac:dyDescent="0.3">
      <c r="A16" s="4" t="s">
        <v>24</v>
      </c>
      <c r="B16" s="4">
        <f t="shared" si="0"/>
        <v>2</v>
      </c>
      <c r="C16" s="4">
        <f t="shared" si="1"/>
        <v>25</v>
      </c>
      <c r="D16" s="4">
        <v>25</v>
      </c>
      <c r="E16" s="4" t="s">
        <v>25</v>
      </c>
      <c r="F16" s="4">
        <v>2</v>
      </c>
      <c r="G16" s="4">
        <v>3</v>
      </c>
      <c r="H16" s="4">
        <v>7</v>
      </c>
      <c r="I16" s="4">
        <v>5</v>
      </c>
      <c r="J16" s="4">
        <v>4</v>
      </c>
      <c r="K16" s="4">
        <v>1</v>
      </c>
      <c r="L16" s="4">
        <v>6</v>
      </c>
      <c r="M16" s="4" t="s">
        <v>25</v>
      </c>
      <c r="N16" s="4" t="s">
        <v>26</v>
      </c>
      <c r="O16" s="4" t="s">
        <v>27</v>
      </c>
      <c r="P16" s="4" t="s">
        <v>28</v>
      </c>
      <c r="Q16" s="4" t="s">
        <v>29</v>
      </c>
      <c r="R16" s="4" t="s">
        <v>30</v>
      </c>
      <c r="S16" s="4" t="s">
        <v>31</v>
      </c>
      <c r="T16" s="4">
        <f t="shared" si="2"/>
        <v>25</v>
      </c>
      <c r="U16" s="4" t="s">
        <v>65</v>
      </c>
      <c r="V16" s="4" t="s">
        <v>42</v>
      </c>
      <c r="W16" s="4" t="s">
        <v>43</v>
      </c>
      <c r="X16" s="4" t="s">
        <v>34</v>
      </c>
      <c r="Y16" s="4" t="s">
        <v>51</v>
      </c>
      <c r="Z16" s="4" t="s">
        <v>59</v>
      </c>
      <c r="AA16" s="4" t="s">
        <v>45</v>
      </c>
    </row>
    <row r="17" spans="1:27" x14ac:dyDescent="0.3">
      <c r="A17" s="4" t="s">
        <v>46</v>
      </c>
      <c r="B17" s="4">
        <f t="shared" si="0"/>
        <v>2</v>
      </c>
      <c r="C17" s="4">
        <f t="shared" si="1"/>
        <v>25</v>
      </c>
      <c r="D17" s="4">
        <v>27</v>
      </c>
      <c r="E17" s="4" t="s">
        <v>25</v>
      </c>
      <c r="F17" s="4">
        <v>2</v>
      </c>
      <c r="G17" s="4">
        <v>3</v>
      </c>
      <c r="H17" s="4">
        <v>7</v>
      </c>
      <c r="I17" s="4">
        <v>5</v>
      </c>
      <c r="J17" s="4">
        <v>4</v>
      </c>
      <c r="K17" s="4">
        <v>1</v>
      </c>
      <c r="L17" s="4">
        <v>6</v>
      </c>
      <c r="M17" s="4" t="s">
        <v>25</v>
      </c>
      <c r="N17" s="4" t="s">
        <v>26</v>
      </c>
      <c r="O17" s="4" t="s">
        <v>27</v>
      </c>
      <c r="P17" s="4" t="s">
        <v>28</v>
      </c>
      <c r="Q17" s="4" t="s">
        <v>29</v>
      </c>
      <c r="R17" s="4" t="s">
        <v>30</v>
      </c>
      <c r="S17" s="4" t="s">
        <v>31</v>
      </c>
      <c r="T17" s="4">
        <f t="shared" si="2"/>
        <v>25</v>
      </c>
      <c r="U17" s="4" t="s">
        <v>32</v>
      </c>
      <c r="V17" s="4" t="s">
        <v>42</v>
      </c>
      <c r="W17" s="4" t="s">
        <v>27</v>
      </c>
      <c r="X17" s="4" t="s">
        <v>56</v>
      </c>
      <c r="Y17" s="4" t="s">
        <v>51</v>
      </c>
      <c r="Z17" s="4" t="s">
        <v>59</v>
      </c>
      <c r="AA17" s="4" t="s">
        <v>37</v>
      </c>
    </row>
    <row r="18" spans="1:27" x14ac:dyDescent="0.3">
      <c r="A18" s="4" t="s">
        <v>24</v>
      </c>
      <c r="B18" s="4">
        <f t="shared" si="0"/>
        <v>2</v>
      </c>
      <c r="C18" s="4">
        <f t="shared" si="1"/>
        <v>25</v>
      </c>
      <c r="D18" s="4">
        <v>28</v>
      </c>
      <c r="E18" s="4" t="s">
        <v>25</v>
      </c>
      <c r="F18" s="4">
        <v>3</v>
      </c>
      <c r="G18" s="4">
        <v>2</v>
      </c>
      <c r="H18" s="4">
        <v>7</v>
      </c>
      <c r="I18" s="4">
        <v>5</v>
      </c>
      <c r="J18" s="4">
        <v>4</v>
      </c>
      <c r="K18" s="4">
        <v>1</v>
      </c>
      <c r="L18" s="4">
        <v>6</v>
      </c>
      <c r="M18" s="4" t="s">
        <v>25</v>
      </c>
      <c r="N18" s="4" t="s">
        <v>60</v>
      </c>
      <c r="O18" s="4" t="s">
        <v>63</v>
      </c>
      <c r="P18" s="4" t="s">
        <v>28</v>
      </c>
      <c r="Q18" s="4" t="s">
        <v>29</v>
      </c>
      <c r="R18" s="4" t="s">
        <v>30</v>
      </c>
      <c r="S18" s="4" t="s">
        <v>31</v>
      </c>
      <c r="T18" s="4">
        <f t="shared" si="2"/>
        <v>25</v>
      </c>
      <c r="U18" s="4" t="s">
        <v>65</v>
      </c>
      <c r="V18" s="4" t="s">
        <v>42</v>
      </c>
      <c r="W18" s="4" t="s">
        <v>27</v>
      </c>
      <c r="X18" s="4" t="s">
        <v>56</v>
      </c>
      <c r="Y18" s="4" t="s">
        <v>51</v>
      </c>
      <c r="Z18" s="4" t="s">
        <v>59</v>
      </c>
      <c r="AA18" s="4" t="s">
        <v>52</v>
      </c>
    </row>
    <row r="19" spans="1:27" x14ac:dyDescent="0.3">
      <c r="A19" s="4" t="s">
        <v>46</v>
      </c>
      <c r="B19" s="4">
        <f t="shared" si="0"/>
        <v>2</v>
      </c>
      <c r="C19" s="4">
        <f t="shared" si="1"/>
        <v>25</v>
      </c>
      <c r="D19" s="4">
        <v>27</v>
      </c>
      <c r="E19" s="4" t="s">
        <v>25</v>
      </c>
      <c r="F19" s="4">
        <v>3</v>
      </c>
      <c r="G19" s="4">
        <v>2</v>
      </c>
      <c r="H19" s="4">
        <v>7</v>
      </c>
      <c r="I19" s="4">
        <v>4</v>
      </c>
      <c r="J19" s="4">
        <v>5</v>
      </c>
      <c r="K19" s="4">
        <v>1</v>
      </c>
      <c r="L19" s="4">
        <v>6</v>
      </c>
      <c r="M19" s="4" t="s">
        <v>25</v>
      </c>
      <c r="N19" s="4" t="s">
        <v>26</v>
      </c>
      <c r="O19" s="4" t="s">
        <v>27</v>
      </c>
      <c r="P19" s="4" t="s">
        <v>28</v>
      </c>
      <c r="Q19" s="4" t="s">
        <v>29</v>
      </c>
      <c r="R19" s="4" t="s">
        <v>30</v>
      </c>
      <c r="S19" s="4" t="s">
        <v>31</v>
      </c>
      <c r="T19" s="4">
        <f t="shared" si="2"/>
        <v>25</v>
      </c>
      <c r="U19" s="4" t="s">
        <v>32</v>
      </c>
      <c r="V19" s="4" t="s">
        <v>33</v>
      </c>
      <c r="W19" s="4" t="s">
        <v>27</v>
      </c>
      <c r="X19" s="4" t="s">
        <v>34</v>
      </c>
      <c r="Y19" s="4" t="s">
        <v>51</v>
      </c>
      <c r="Z19" s="4" t="s">
        <v>59</v>
      </c>
      <c r="AA19" s="4" t="s">
        <v>45</v>
      </c>
    </row>
    <row r="20" spans="1:27" x14ac:dyDescent="0.3">
      <c r="A20" s="4" t="s">
        <v>46</v>
      </c>
      <c r="B20" s="4">
        <f t="shared" si="0"/>
        <v>2</v>
      </c>
      <c r="C20" s="4">
        <f t="shared" si="1"/>
        <v>25</v>
      </c>
      <c r="D20" s="4">
        <v>29</v>
      </c>
      <c r="E20" s="4" t="s">
        <v>25</v>
      </c>
      <c r="F20" s="4">
        <v>3</v>
      </c>
      <c r="G20" s="4">
        <v>2</v>
      </c>
      <c r="H20" s="4">
        <v>7</v>
      </c>
      <c r="I20" s="4">
        <v>4</v>
      </c>
      <c r="J20" s="4">
        <v>5</v>
      </c>
      <c r="K20" s="4">
        <v>1</v>
      </c>
      <c r="L20" s="4">
        <v>6</v>
      </c>
      <c r="M20" s="4" t="s">
        <v>25</v>
      </c>
      <c r="N20" s="4" t="s">
        <v>60</v>
      </c>
      <c r="O20" s="4" t="s">
        <v>27</v>
      </c>
      <c r="P20" s="4" t="s">
        <v>28</v>
      </c>
      <c r="Q20" s="4" t="s">
        <v>29</v>
      </c>
      <c r="R20" s="4" t="s">
        <v>30</v>
      </c>
      <c r="S20" s="4" t="s">
        <v>31</v>
      </c>
      <c r="T20" s="4">
        <f t="shared" si="2"/>
        <v>25</v>
      </c>
      <c r="U20" s="4" t="s">
        <v>32</v>
      </c>
      <c r="V20" s="4" t="s">
        <v>33</v>
      </c>
      <c r="W20" s="4" t="s">
        <v>27</v>
      </c>
      <c r="X20" s="4" t="s">
        <v>34</v>
      </c>
      <c r="Y20" s="4" t="s">
        <v>51</v>
      </c>
      <c r="Z20" s="4" t="s">
        <v>59</v>
      </c>
      <c r="AA20" s="4" t="s">
        <v>37</v>
      </c>
    </row>
    <row r="21" spans="1:27" x14ac:dyDescent="0.3">
      <c r="A21" s="4" t="s">
        <v>46</v>
      </c>
      <c r="B21" s="4">
        <f t="shared" si="0"/>
        <v>4</v>
      </c>
      <c r="C21" s="4">
        <f t="shared" si="1"/>
        <v>25</v>
      </c>
      <c r="D21" s="4">
        <v>26</v>
      </c>
      <c r="E21" s="4" t="s">
        <v>25</v>
      </c>
      <c r="F21" s="4">
        <v>3</v>
      </c>
      <c r="G21" s="4">
        <v>4</v>
      </c>
      <c r="H21" s="4">
        <v>6</v>
      </c>
      <c r="I21" s="4">
        <v>5</v>
      </c>
      <c r="J21" s="4">
        <v>1</v>
      </c>
      <c r="K21" s="4">
        <v>2</v>
      </c>
      <c r="L21" s="4">
        <v>7</v>
      </c>
      <c r="M21" s="4" t="s">
        <v>25</v>
      </c>
      <c r="N21" s="4" t="s">
        <v>60</v>
      </c>
      <c r="O21" s="4" t="s">
        <v>27</v>
      </c>
      <c r="P21" s="4" t="s">
        <v>28</v>
      </c>
      <c r="Q21" s="4" t="s">
        <v>47</v>
      </c>
      <c r="R21" s="4" t="s">
        <v>30</v>
      </c>
      <c r="S21" s="4" t="s">
        <v>31</v>
      </c>
      <c r="T21" s="4">
        <f t="shared" si="2"/>
        <v>25</v>
      </c>
      <c r="U21" s="4" t="s">
        <v>65</v>
      </c>
      <c r="V21" s="4" t="s">
        <v>42</v>
      </c>
      <c r="W21" s="4" t="s">
        <v>27</v>
      </c>
      <c r="X21" s="4" t="s">
        <v>56</v>
      </c>
      <c r="Y21" s="4" t="s">
        <v>51</v>
      </c>
      <c r="Z21" s="4" t="s">
        <v>59</v>
      </c>
      <c r="AA21" s="4" t="s">
        <v>37</v>
      </c>
    </row>
    <row r="22" spans="1:27" x14ac:dyDescent="0.3">
      <c r="A22" s="4" t="s">
        <v>46</v>
      </c>
      <c r="B22" s="4">
        <f t="shared" si="0"/>
        <v>4</v>
      </c>
      <c r="C22" s="4">
        <f t="shared" si="1"/>
        <v>25</v>
      </c>
      <c r="D22" s="4">
        <v>29</v>
      </c>
      <c r="E22" s="4" t="s">
        <v>25</v>
      </c>
      <c r="F22" s="4">
        <v>2</v>
      </c>
      <c r="G22" s="4">
        <v>4</v>
      </c>
      <c r="H22" s="4">
        <v>7</v>
      </c>
      <c r="I22" s="4">
        <v>5</v>
      </c>
      <c r="J22" s="4">
        <v>3</v>
      </c>
      <c r="K22" s="4">
        <v>1</v>
      </c>
      <c r="L22" s="4">
        <v>6</v>
      </c>
      <c r="M22" s="4" t="s">
        <v>25</v>
      </c>
      <c r="N22" s="4" t="s">
        <v>26</v>
      </c>
      <c r="O22" s="4" t="s">
        <v>63</v>
      </c>
      <c r="P22" s="4" t="s">
        <v>28</v>
      </c>
      <c r="Q22" s="4" t="s">
        <v>47</v>
      </c>
      <c r="R22" s="4" t="s">
        <v>41</v>
      </c>
      <c r="S22" s="4" t="s">
        <v>31</v>
      </c>
      <c r="T22" s="4">
        <f t="shared" si="2"/>
        <v>25</v>
      </c>
      <c r="U22" s="4" t="s">
        <v>32</v>
      </c>
      <c r="V22" s="4" t="s">
        <v>33</v>
      </c>
      <c r="W22" s="4" t="s">
        <v>27</v>
      </c>
      <c r="X22" s="4" t="s">
        <v>34</v>
      </c>
      <c r="Y22" s="4" t="s">
        <v>51</v>
      </c>
      <c r="Z22" s="4" t="s">
        <v>36</v>
      </c>
      <c r="AA22" s="4" t="s">
        <v>45</v>
      </c>
    </row>
    <row r="23" spans="1:27" x14ac:dyDescent="0.3">
      <c r="A23" s="4" t="s">
        <v>24</v>
      </c>
      <c r="B23" s="4">
        <f t="shared" si="0"/>
        <v>4</v>
      </c>
      <c r="C23" s="4">
        <f t="shared" si="1"/>
        <v>25</v>
      </c>
      <c r="D23" s="4">
        <v>24</v>
      </c>
      <c r="E23" s="4" t="s">
        <v>25</v>
      </c>
      <c r="F23" s="4">
        <v>2</v>
      </c>
      <c r="G23" s="4">
        <v>4</v>
      </c>
      <c r="H23" s="4">
        <v>5</v>
      </c>
      <c r="I23" s="4">
        <v>6</v>
      </c>
      <c r="J23" s="4">
        <v>3</v>
      </c>
      <c r="K23" s="4">
        <v>1</v>
      </c>
      <c r="L23" s="4">
        <v>7</v>
      </c>
      <c r="M23" s="4" t="s">
        <v>25</v>
      </c>
      <c r="N23" s="4" t="s">
        <v>60</v>
      </c>
      <c r="O23" s="4" t="s">
        <v>27</v>
      </c>
      <c r="P23" s="4" t="s">
        <v>28</v>
      </c>
      <c r="Q23" s="4" t="s">
        <v>47</v>
      </c>
      <c r="R23" s="4" t="s">
        <v>30</v>
      </c>
      <c r="S23" s="4" t="s">
        <v>31</v>
      </c>
      <c r="T23" s="4">
        <f t="shared" si="2"/>
        <v>25</v>
      </c>
      <c r="U23" s="4" t="s">
        <v>49</v>
      </c>
      <c r="V23" s="4" t="s">
        <v>42</v>
      </c>
      <c r="W23" s="4" t="s">
        <v>27</v>
      </c>
      <c r="X23" s="4" t="s">
        <v>34</v>
      </c>
      <c r="Y23" s="4" t="s">
        <v>51</v>
      </c>
      <c r="Z23" s="4" t="s">
        <v>59</v>
      </c>
      <c r="AA23" s="4" t="s">
        <v>37</v>
      </c>
    </row>
    <row r="24" spans="1:27" x14ac:dyDescent="0.3">
      <c r="A24" s="4" t="s">
        <v>46</v>
      </c>
      <c r="B24" s="4">
        <f t="shared" si="0"/>
        <v>4</v>
      </c>
      <c r="C24" s="4">
        <f t="shared" si="1"/>
        <v>25</v>
      </c>
      <c r="D24" s="4">
        <v>27</v>
      </c>
      <c r="E24" s="4" t="s">
        <v>25</v>
      </c>
      <c r="F24" s="4">
        <v>3</v>
      </c>
      <c r="G24" s="4">
        <v>4</v>
      </c>
      <c r="H24" s="4">
        <v>6</v>
      </c>
      <c r="I24" s="4">
        <v>5</v>
      </c>
      <c r="J24" s="4">
        <v>2</v>
      </c>
      <c r="K24" s="4">
        <v>1</v>
      </c>
      <c r="L24" s="4">
        <v>7</v>
      </c>
      <c r="M24" s="4" t="s">
        <v>25</v>
      </c>
      <c r="N24" s="4" t="s">
        <v>26</v>
      </c>
      <c r="O24" s="4" t="s">
        <v>27</v>
      </c>
      <c r="P24" s="4" t="s">
        <v>28</v>
      </c>
      <c r="Q24" s="4" t="s">
        <v>47</v>
      </c>
      <c r="R24" s="4" t="s">
        <v>30</v>
      </c>
      <c r="S24" s="4" t="s">
        <v>31</v>
      </c>
      <c r="T24" s="4">
        <f t="shared" si="2"/>
        <v>25</v>
      </c>
      <c r="U24" s="4" t="s">
        <v>32</v>
      </c>
      <c r="V24" s="4" t="s">
        <v>33</v>
      </c>
      <c r="W24" s="4" t="s">
        <v>27</v>
      </c>
      <c r="X24" s="4" t="s">
        <v>34</v>
      </c>
      <c r="Y24" s="4" t="s">
        <v>51</v>
      </c>
      <c r="Z24" s="4" t="s">
        <v>59</v>
      </c>
      <c r="AA24" s="4" t="s">
        <v>45</v>
      </c>
    </row>
    <row r="25" spans="1:27" x14ac:dyDescent="0.3">
      <c r="A25" s="4" t="s">
        <v>46</v>
      </c>
      <c r="B25" s="4">
        <f t="shared" si="0"/>
        <v>4</v>
      </c>
      <c r="C25" s="4">
        <f t="shared" si="1"/>
        <v>25</v>
      </c>
      <c r="D25" s="4">
        <v>25</v>
      </c>
      <c r="E25" s="4" t="s">
        <v>25</v>
      </c>
      <c r="F25" s="4">
        <v>2</v>
      </c>
      <c r="G25" s="4">
        <v>4</v>
      </c>
      <c r="H25" s="4">
        <v>6</v>
      </c>
      <c r="I25" s="4">
        <v>5</v>
      </c>
      <c r="J25" s="4">
        <v>3</v>
      </c>
      <c r="K25" s="4">
        <v>1</v>
      </c>
      <c r="L25" s="4">
        <v>7</v>
      </c>
      <c r="M25" s="4" t="s">
        <v>25</v>
      </c>
      <c r="N25" s="4" t="s">
        <v>60</v>
      </c>
      <c r="O25" s="4" t="s">
        <v>63</v>
      </c>
      <c r="P25" s="4" t="s">
        <v>64</v>
      </c>
      <c r="Q25" s="4" t="s">
        <v>47</v>
      </c>
      <c r="R25" s="4" t="s">
        <v>41</v>
      </c>
      <c r="S25" s="4" t="s">
        <v>31</v>
      </c>
      <c r="T25" s="4">
        <f t="shared" si="2"/>
        <v>25</v>
      </c>
      <c r="U25" s="4" t="s">
        <v>67</v>
      </c>
      <c r="V25" s="4" t="s">
        <v>42</v>
      </c>
      <c r="W25" s="4" t="s">
        <v>62</v>
      </c>
      <c r="X25" s="4" t="s">
        <v>34</v>
      </c>
      <c r="Y25" s="4" t="s">
        <v>51</v>
      </c>
      <c r="Z25" s="4" t="s">
        <v>59</v>
      </c>
      <c r="AA25" s="4" t="s">
        <v>45</v>
      </c>
    </row>
    <row r="26" spans="1:27" x14ac:dyDescent="0.3">
      <c r="A26" s="4" t="s">
        <v>24</v>
      </c>
      <c r="B26" s="4">
        <f t="shared" si="0"/>
        <v>4</v>
      </c>
      <c r="C26" s="4">
        <f t="shared" si="1"/>
        <v>35</v>
      </c>
      <c r="D26" s="4">
        <v>26</v>
      </c>
      <c r="E26" s="4" t="s">
        <v>25</v>
      </c>
      <c r="F26" s="4">
        <v>2</v>
      </c>
      <c r="G26" s="4">
        <v>3</v>
      </c>
      <c r="H26" s="4">
        <v>7</v>
      </c>
      <c r="I26" s="4">
        <v>5</v>
      </c>
      <c r="J26" s="4">
        <v>4</v>
      </c>
      <c r="K26" s="4">
        <v>1</v>
      </c>
      <c r="L26" s="4">
        <v>6</v>
      </c>
      <c r="M26" s="4" t="s">
        <v>25</v>
      </c>
      <c r="N26" s="4" t="s">
        <v>26</v>
      </c>
      <c r="O26" s="4" t="s">
        <v>27</v>
      </c>
      <c r="P26" s="4" t="s">
        <v>28</v>
      </c>
      <c r="Q26" s="4" t="s">
        <v>47</v>
      </c>
      <c r="R26" s="4" t="s">
        <v>30</v>
      </c>
      <c r="S26" s="4" t="s">
        <v>61</v>
      </c>
      <c r="T26" s="4">
        <f t="shared" si="2"/>
        <v>35</v>
      </c>
      <c r="U26" s="4" t="s">
        <v>67</v>
      </c>
      <c r="V26" s="4" t="s">
        <v>33</v>
      </c>
      <c r="W26" s="4" t="s">
        <v>27</v>
      </c>
      <c r="X26" s="4" t="s">
        <v>34</v>
      </c>
      <c r="Y26" s="4" t="s">
        <v>51</v>
      </c>
      <c r="Z26" s="4" t="s">
        <v>59</v>
      </c>
      <c r="AA26" s="4" t="s">
        <v>37</v>
      </c>
    </row>
    <row r="27" spans="1:27" x14ac:dyDescent="0.3">
      <c r="A27" s="4" t="s">
        <v>24</v>
      </c>
      <c r="B27" s="4">
        <f t="shared" si="0"/>
        <v>4</v>
      </c>
      <c r="C27" s="4">
        <f t="shared" si="1"/>
        <v>25</v>
      </c>
      <c r="D27" s="4">
        <v>32</v>
      </c>
      <c r="E27" s="4" t="s">
        <v>25</v>
      </c>
      <c r="F27" s="4">
        <v>3</v>
      </c>
      <c r="G27" s="4">
        <v>4</v>
      </c>
      <c r="H27" s="4">
        <v>7</v>
      </c>
      <c r="I27" s="4">
        <v>5</v>
      </c>
      <c r="J27" s="4">
        <v>1</v>
      </c>
      <c r="K27" s="4">
        <v>2</v>
      </c>
      <c r="L27" s="4">
        <v>6</v>
      </c>
      <c r="M27" s="4" t="s">
        <v>25</v>
      </c>
      <c r="N27" s="4" t="s">
        <v>60</v>
      </c>
      <c r="O27" s="4" t="s">
        <v>63</v>
      </c>
      <c r="P27" s="4" t="s">
        <v>28</v>
      </c>
      <c r="Q27" s="4" t="s">
        <v>47</v>
      </c>
      <c r="R27" s="4" t="s">
        <v>30</v>
      </c>
      <c r="S27" s="4" t="s">
        <v>31</v>
      </c>
      <c r="T27" s="4">
        <f t="shared" si="2"/>
        <v>25</v>
      </c>
      <c r="U27" s="4" t="s">
        <v>32</v>
      </c>
      <c r="V27" s="4" t="s">
        <v>33</v>
      </c>
      <c r="W27" s="4" t="s">
        <v>27</v>
      </c>
      <c r="X27" s="4" t="s">
        <v>34</v>
      </c>
      <c r="Y27" s="4" t="s">
        <v>51</v>
      </c>
      <c r="Z27" s="4" t="s">
        <v>36</v>
      </c>
      <c r="AA27" s="4" t="s">
        <v>45</v>
      </c>
    </row>
    <row r="28" spans="1:27" x14ac:dyDescent="0.3">
      <c r="A28" s="4" t="s">
        <v>46</v>
      </c>
      <c r="B28" s="4">
        <f t="shared" si="0"/>
        <v>4</v>
      </c>
      <c r="C28" s="4">
        <f t="shared" si="1"/>
        <v>25</v>
      </c>
      <c r="D28" s="4">
        <v>26</v>
      </c>
      <c r="E28" s="4" t="s">
        <v>25</v>
      </c>
      <c r="F28" s="4">
        <v>3</v>
      </c>
      <c r="G28" s="4">
        <v>4</v>
      </c>
      <c r="H28" s="4">
        <v>6</v>
      </c>
      <c r="I28" s="4">
        <v>5</v>
      </c>
      <c r="J28" s="4">
        <v>1</v>
      </c>
      <c r="K28" s="4">
        <v>2</v>
      </c>
      <c r="L28" s="4">
        <v>7</v>
      </c>
      <c r="M28" s="4" t="s">
        <v>25</v>
      </c>
      <c r="N28" s="4" t="s">
        <v>26</v>
      </c>
      <c r="O28" s="4" t="s">
        <v>27</v>
      </c>
      <c r="P28" s="4" t="s">
        <v>28</v>
      </c>
      <c r="Q28" s="4" t="s">
        <v>47</v>
      </c>
      <c r="R28" s="4" t="s">
        <v>30</v>
      </c>
      <c r="S28" s="4" t="s">
        <v>31</v>
      </c>
      <c r="T28" s="4">
        <f t="shared" si="2"/>
        <v>25</v>
      </c>
      <c r="U28" s="4" t="s">
        <v>32</v>
      </c>
      <c r="V28" s="4" t="s">
        <v>33</v>
      </c>
      <c r="W28" s="4" t="s">
        <v>43</v>
      </c>
      <c r="X28" s="4" t="s">
        <v>56</v>
      </c>
      <c r="Y28" s="4" t="s">
        <v>51</v>
      </c>
      <c r="Z28" s="4" t="s">
        <v>36</v>
      </c>
      <c r="AA28" s="4" t="s">
        <v>45</v>
      </c>
    </row>
    <row r="29" spans="1:27" x14ac:dyDescent="0.3">
      <c r="A29" s="4" t="s">
        <v>46</v>
      </c>
      <c r="B29" s="4">
        <f t="shared" si="0"/>
        <v>2</v>
      </c>
      <c r="C29" s="4">
        <f t="shared" si="1"/>
        <v>25</v>
      </c>
      <c r="D29" s="4">
        <v>31</v>
      </c>
      <c r="E29" s="4" t="s">
        <v>25</v>
      </c>
      <c r="F29" s="4">
        <v>2</v>
      </c>
      <c r="G29" s="4">
        <v>3</v>
      </c>
      <c r="H29" s="4">
        <v>7</v>
      </c>
      <c r="I29" s="4">
        <v>6</v>
      </c>
      <c r="J29" s="4">
        <v>4</v>
      </c>
      <c r="K29" s="4">
        <v>1</v>
      </c>
      <c r="L29" s="4">
        <v>5</v>
      </c>
      <c r="M29" s="4" t="s">
        <v>25</v>
      </c>
      <c r="N29" s="4" t="s">
        <v>60</v>
      </c>
      <c r="O29" s="4" t="s">
        <v>63</v>
      </c>
      <c r="P29" s="4" t="s">
        <v>64</v>
      </c>
      <c r="Q29" s="4" t="s">
        <v>29</v>
      </c>
      <c r="R29" s="4" t="s">
        <v>30</v>
      </c>
      <c r="S29" s="4" t="s">
        <v>31</v>
      </c>
      <c r="T29" s="4">
        <f t="shared" si="2"/>
        <v>25</v>
      </c>
      <c r="U29" s="4" t="s">
        <v>65</v>
      </c>
      <c r="V29" s="4" t="s">
        <v>42</v>
      </c>
      <c r="W29" s="4" t="s">
        <v>27</v>
      </c>
      <c r="X29" s="4" t="s">
        <v>56</v>
      </c>
      <c r="Y29" s="4" t="s">
        <v>35</v>
      </c>
      <c r="Z29" s="4" t="s">
        <v>36</v>
      </c>
      <c r="AA29" s="4" t="s">
        <v>52</v>
      </c>
    </row>
    <row r="30" spans="1:27" x14ac:dyDescent="0.3">
      <c r="A30" s="4" t="s">
        <v>46</v>
      </c>
      <c r="B30" s="4">
        <f t="shared" si="0"/>
        <v>2</v>
      </c>
      <c r="C30" s="4">
        <f t="shared" si="1"/>
        <v>25</v>
      </c>
      <c r="D30" s="4">
        <v>29</v>
      </c>
      <c r="E30" s="4" t="s">
        <v>25</v>
      </c>
      <c r="F30" s="4">
        <v>2</v>
      </c>
      <c r="G30" s="4">
        <v>3</v>
      </c>
      <c r="H30" s="4">
        <v>6</v>
      </c>
      <c r="I30" s="4">
        <v>5</v>
      </c>
      <c r="J30" s="4">
        <v>1</v>
      </c>
      <c r="K30" s="4">
        <v>4</v>
      </c>
      <c r="L30" s="4">
        <v>7</v>
      </c>
      <c r="M30" s="4" t="s">
        <v>25</v>
      </c>
      <c r="N30" s="4" t="s">
        <v>26</v>
      </c>
      <c r="O30" s="4" t="s">
        <v>27</v>
      </c>
      <c r="P30" s="4" t="s">
        <v>28</v>
      </c>
      <c r="Q30" s="4" t="s">
        <v>29</v>
      </c>
      <c r="R30" s="4" t="s">
        <v>30</v>
      </c>
      <c r="S30" s="4" t="s">
        <v>31</v>
      </c>
      <c r="T30" s="4">
        <f t="shared" si="2"/>
        <v>25</v>
      </c>
      <c r="U30" s="4" t="s">
        <v>49</v>
      </c>
      <c r="V30" s="4" t="s">
        <v>33</v>
      </c>
      <c r="W30" s="4" t="s">
        <v>27</v>
      </c>
      <c r="X30" s="4" t="s">
        <v>34</v>
      </c>
      <c r="Y30" s="4" t="s">
        <v>51</v>
      </c>
      <c r="Z30" s="4" t="s">
        <v>59</v>
      </c>
      <c r="AA30" s="4" t="s">
        <v>52</v>
      </c>
    </row>
    <row r="31" spans="1:27" x14ac:dyDescent="0.3">
      <c r="A31" s="4" t="s">
        <v>24</v>
      </c>
      <c r="B31" s="4">
        <f t="shared" si="0"/>
        <v>4</v>
      </c>
      <c r="C31" s="4">
        <f t="shared" si="1"/>
        <v>15</v>
      </c>
      <c r="D31" s="4">
        <v>34</v>
      </c>
      <c r="E31" s="4" t="s">
        <v>25</v>
      </c>
      <c r="F31" s="4">
        <v>5</v>
      </c>
      <c r="G31" s="4">
        <v>4</v>
      </c>
      <c r="H31" s="4">
        <v>3</v>
      </c>
      <c r="I31" s="4">
        <v>2</v>
      </c>
      <c r="J31" s="4">
        <v>7</v>
      </c>
      <c r="K31" s="4">
        <v>1</v>
      </c>
      <c r="L31" s="4">
        <v>6</v>
      </c>
      <c r="M31" s="4" t="s">
        <v>25</v>
      </c>
      <c r="N31" s="4" t="s">
        <v>26</v>
      </c>
      <c r="O31" s="4" t="s">
        <v>53</v>
      </c>
      <c r="P31" s="4" t="s">
        <v>26</v>
      </c>
      <c r="Q31" s="4" t="s">
        <v>47</v>
      </c>
      <c r="R31" s="4" t="s">
        <v>30</v>
      </c>
      <c r="S31" s="4" t="s">
        <v>55</v>
      </c>
      <c r="T31" s="4">
        <f t="shared" si="2"/>
        <v>15</v>
      </c>
      <c r="U31" s="4" t="s">
        <v>32</v>
      </c>
      <c r="V31" s="4" t="s">
        <v>33</v>
      </c>
      <c r="W31" s="4" t="s">
        <v>27</v>
      </c>
      <c r="X31" s="4" t="s">
        <v>50</v>
      </c>
      <c r="Y31" s="4" t="s">
        <v>35</v>
      </c>
      <c r="Z31" s="4" t="s">
        <v>36</v>
      </c>
      <c r="AA31" s="4" t="s">
        <v>37</v>
      </c>
    </row>
    <row r="32" spans="1:27" x14ac:dyDescent="0.3">
      <c r="A32" s="4" t="s">
        <v>46</v>
      </c>
      <c r="B32" s="4">
        <f t="shared" si="0"/>
        <v>2</v>
      </c>
      <c r="C32" s="4">
        <f t="shared" si="1"/>
        <v>15</v>
      </c>
      <c r="D32" s="4">
        <v>27</v>
      </c>
      <c r="E32" s="4" t="s">
        <v>25</v>
      </c>
      <c r="F32" s="4">
        <v>4</v>
      </c>
      <c r="G32" s="4">
        <v>5</v>
      </c>
      <c r="H32" s="4">
        <v>1</v>
      </c>
      <c r="I32" s="4">
        <v>2</v>
      </c>
      <c r="J32" s="4">
        <v>7</v>
      </c>
      <c r="K32" s="4">
        <v>3</v>
      </c>
      <c r="L32" s="4">
        <v>6</v>
      </c>
      <c r="M32" s="4" t="s">
        <v>38</v>
      </c>
      <c r="N32" s="4" t="s">
        <v>26</v>
      </c>
      <c r="O32" s="4" t="s">
        <v>63</v>
      </c>
      <c r="P32" s="4" t="s">
        <v>28</v>
      </c>
      <c r="Q32" s="4" t="s">
        <v>29</v>
      </c>
      <c r="R32" s="4" t="s">
        <v>30</v>
      </c>
      <c r="S32" s="4" t="s">
        <v>55</v>
      </c>
      <c r="T32" s="4">
        <f t="shared" si="2"/>
        <v>15</v>
      </c>
      <c r="U32" s="4" t="s">
        <v>32</v>
      </c>
      <c r="V32" s="4" t="s">
        <v>66</v>
      </c>
      <c r="W32" s="4" t="s">
        <v>27</v>
      </c>
      <c r="X32" s="4" t="s">
        <v>50</v>
      </c>
      <c r="Y32" s="4" t="s">
        <v>35</v>
      </c>
      <c r="Z32" s="4" t="s">
        <v>36</v>
      </c>
      <c r="AA32" s="4" t="s">
        <v>52</v>
      </c>
    </row>
    <row r="33" spans="1:27" x14ac:dyDescent="0.3">
      <c r="A33" s="4" t="s">
        <v>24</v>
      </c>
      <c r="B33" s="4">
        <f t="shared" si="0"/>
        <v>4</v>
      </c>
      <c r="C33" s="4">
        <f t="shared" si="1"/>
        <v>25</v>
      </c>
      <c r="D33" s="4">
        <v>31</v>
      </c>
      <c r="E33" s="4" t="s">
        <v>25</v>
      </c>
      <c r="F33" s="4">
        <v>2</v>
      </c>
      <c r="G33" s="4">
        <v>4</v>
      </c>
      <c r="H33" s="4">
        <v>7</v>
      </c>
      <c r="I33" s="4">
        <v>6</v>
      </c>
      <c r="J33" s="4">
        <v>3</v>
      </c>
      <c r="K33" s="4">
        <v>1</v>
      </c>
      <c r="L33" s="4">
        <v>5</v>
      </c>
      <c r="M33" s="4" t="s">
        <v>25</v>
      </c>
      <c r="N33" s="4" t="s">
        <v>26</v>
      </c>
      <c r="O33" s="4" t="s">
        <v>27</v>
      </c>
      <c r="P33" s="4" t="s">
        <v>28</v>
      </c>
      <c r="Q33" s="4" t="s">
        <v>47</v>
      </c>
      <c r="R33" s="4" t="s">
        <v>30</v>
      </c>
      <c r="S33" s="4" t="s">
        <v>31</v>
      </c>
      <c r="T33" s="4">
        <f t="shared" si="2"/>
        <v>25</v>
      </c>
      <c r="U33" s="4" t="s">
        <v>65</v>
      </c>
      <c r="V33" s="4" t="s">
        <v>33</v>
      </c>
      <c r="W33" s="4" t="s">
        <v>27</v>
      </c>
      <c r="X33" s="4" t="s">
        <v>34</v>
      </c>
      <c r="Y33" s="4" t="s">
        <v>51</v>
      </c>
      <c r="Z33" s="4" t="s">
        <v>36</v>
      </c>
      <c r="AA33" s="4" t="s">
        <v>45</v>
      </c>
    </row>
    <row r="34" spans="1:27" x14ac:dyDescent="0.3">
      <c r="A34" s="4" t="s">
        <v>46</v>
      </c>
      <c r="B34" s="4">
        <f t="shared" si="0"/>
        <v>4</v>
      </c>
      <c r="C34" s="4">
        <f t="shared" si="1"/>
        <v>35</v>
      </c>
      <c r="D34" s="4">
        <v>27</v>
      </c>
      <c r="E34" s="4" t="s">
        <v>25</v>
      </c>
      <c r="F34" s="4">
        <v>2</v>
      </c>
      <c r="G34" s="4">
        <v>4</v>
      </c>
      <c r="H34" s="4">
        <v>7</v>
      </c>
      <c r="I34" s="4">
        <v>5</v>
      </c>
      <c r="J34" s="4">
        <v>1</v>
      </c>
      <c r="K34" s="4">
        <v>3</v>
      </c>
      <c r="L34" s="4">
        <v>6</v>
      </c>
      <c r="M34" s="4" t="s">
        <v>25</v>
      </c>
      <c r="N34" s="4" t="s">
        <v>26</v>
      </c>
      <c r="O34" s="4" t="s">
        <v>27</v>
      </c>
      <c r="P34" s="4" t="s">
        <v>28</v>
      </c>
      <c r="Q34" s="4" t="s">
        <v>47</v>
      </c>
      <c r="R34" s="4" t="s">
        <v>30</v>
      </c>
      <c r="S34" s="4" t="s">
        <v>61</v>
      </c>
      <c r="T34" s="4">
        <f t="shared" si="2"/>
        <v>35</v>
      </c>
      <c r="U34" s="4" t="s">
        <v>49</v>
      </c>
      <c r="V34" s="4" t="s">
        <v>42</v>
      </c>
      <c r="W34" s="4" t="s">
        <v>27</v>
      </c>
      <c r="X34" s="4" t="s">
        <v>56</v>
      </c>
      <c r="Y34" s="4" t="s">
        <v>51</v>
      </c>
      <c r="Z34" s="4" t="s">
        <v>36</v>
      </c>
      <c r="AA34" s="4" t="s">
        <v>37</v>
      </c>
    </row>
    <row r="35" spans="1:27" x14ac:dyDescent="0.3">
      <c r="A35" s="4" t="s">
        <v>46</v>
      </c>
      <c r="B35" s="4">
        <f t="shared" si="0"/>
        <v>2</v>
      </c>
      <c r="C35" s="4">
        <f t="shared" si="1"/>
        <v>25</v>
      </c>
      <c r="D35" s="4">
        <v>26</v>
      </c>
      <c r="E35" s="4" t="s">
        <v>25</v>
      </c>
      <c r="F35" s="4">
        <v>2</v>
      </c>
      <c r="G35" s="4">
        <v>3</v>
      </c>
      <c r="H35" s="4">
        <v>6</v>
      </c>
      <c r="I35" s="4">
        <v>4</v>
      </c>
      <c r="J35" s="4">
        <v>1</v>
      </c>
      <c r="K35" s="4">
        <v>5</v>
      </c>
      <c r="L35" s="4">
        <v>7</v>
      </c>
      <c r="M35" s="4" t="s">
        <v>25</v>
      </c>
      <c r="N35" s="4" t="s">
        <v>26</v>
      </c>
      <c r="O35" s="4" t="s">
        <v>27</v>
      </c>
      <c r="P35" s="4" t="s">
        <v>26</v>
      </c>
      <c r="Q35" s="4" t="s">
        <v>29</v>
      </c>
      <c r="R35" s="4" t="s">
        <v>30</v>
      </c>
      <c r="S35" s="4" t="s">
        <v>31</v>
      </c>
      <c r="T35" s="4">
        <f t="shared" si="2"/>
        <v>25</v>
      </c>
      <c r="U35" s="4" t="s">
        <v>65</v>
      </c>
      <c r="V35" s="4" t="s">
        <v>66</v>
      </c>
      <c r="W35" s="4" t="s">
        <v>43</v>
      </c>
      <c r="X35" s="4" t="s">
        <v>34</v>
      </c>
      <c r="Y35" s="4" t="s">
        <v>35</v>
      </c>
      <c r="Z35" s="4" t="s">
        <v>59</v>
      </c>
      <c r="AA35" s="4" t="s">
        <v>37</v>
      </c>
    </row>
    <row r="36" spans="1:27" x14ac:dyDescent="0.3">
      <c r="A36" s="4" t="s">
        <v>46</v>
      </c>
      <c r="B36" s="4">
        <f t="shared" si="0"/>
        <v>2</v>
      </c>
      <c r="C36" s="4">
        <f t="shared" si="1"/>
        <v>25</v>
      </c>
      <c r="D36" s="4">
        <v>27</v>
      </c>
      <c r="E36" s="4" t="s">
        <v>25</v>
      </c>
      <c r="F36" s="4">
        <v>2</v>
      </c>
      <c r="G36" s="4">
        <v>3</v>
      </c>
      <c r="H36" s="4">
        <v>6</v>
      </c>
      <c r="I36" s="4">
        <v>5</v>
      </c>
      <c r="J36" s="4">
        <v>4</v>
      </c>
      <c r="K36" s="4">
        <v>1</v>
      </c>
      <c r="L36" s="4">
        <v>7</v>
      </c>
      <c r="M36" s="4" t="s">
        <v>25</v>
      </c>
      <c r="N36" s="4" t="s">
        <v>26</v>
      </c>
      <c r="O36" s="4" t="s">
        <v>27</v>
      </c>
      <c r="P36" s="4" t="s">
        <v>28</v>
      </c>
      <c r="Q36" s="4" t="s">
        <v>29</v>
      </c>
      <c r="R36" s="4" t="s">
        <v>41</v>
      </c>
      <c r="S36" s="4" t="s">
        <v>31</v>
      </c>
      <c r="T36" s="4">
        <f t="shared" si="2"/>
        <v>25</v>
      </c>
      <c r="U36" s="4" t="s">
        <v>32</v>
      </c>
      <c r="V36" s="4" t="s">
        <v>42</v>
      </c>
      <c r="W36" s="4" t="s">
        <v>27</v>
      </c>
      <c r="X36" s="4" t="s">
        <v>34</v>
      </c>
      <c r="Y36" s="4" t="s">
        <v>35</v>
      </c>
      <c r="Z36" s="4" t="s">
        <v>36</v>
      </c>
      <c r="AA36" s="4" t="s">
        <v>45</v>
      </c>
    </row>
    <row r="37" spans="1:27" x14ac:dyDescent="0.3">
      <c r="A37" s="4" t="s">
        <v>46</v>
      </c>
      <c r="B37" s="4">
        <f t="shared" si="0"/>
        <v>4</v>
      </c>
      <c r="C37" s="4">
        <f t="shared" si="1"/>
        <v>25</v>
      </c>
      <c r="D37" s="4">
        <v>30</v>
      </c>
      <c r="E37" s="4" t="s">
        <v>25</v>
      </c>
      <c r="F37" s="4">
        <v>1</v>
      </c>
      <c r="G37" s="4">
        <v>4</v>
      </c>
      <c r="H37" s="4">
        <v>6</v>
      </c>
      <c r="I37" s="4">
        <v>5</v>
      </c>
      <c r="J37" s="4">
        <v>3</v>
      </c>
      <c r="K37" s="4">
        <v>2</v>
      </c>
      <c r="L37" s="4">
        <v>7</v>
      </c>
      <c r="M37" s="4" t="s">
        <v>25</v>
      </c>
      <c r="N37" s="4" t="s">
        <v>60</v>
      </c>
      <c r="O37" s="4" t="s">
        <v>63</v>
      </c>
      <c r="P37" s="4" t="s">
        <v>28</v>
      </c>
      <c r="Q37" s="4" t="s">
        <v>47</v>
      </c>
      <c r="R37" s="4" t="s">
        <v>30</v>
      </c>
      <c r="S37" s="4" t="s">
        <v>31</v>
      </c>
      <c r="T37" s="4">
        <f t="shared" si="2"/>
        <v>25</v>
      </c>
      <c r="U37" s="4" t="s">
        <v>65</v>
      </c>
      <c r="V37" s="4" t="s">
        <v>42</v>
      </c>
      <c r="W37" s="4" t="s">
        <v>27</v>
      </c>
      <c r="X37" s="4" t="s">
        <v>34</v>
      </c>
      <c r="Y37" s="4" t="s">
        <v>51</v>
      </c>
      <c r="Z37" s="4" t="s">
        <v>36</v>
      </c>
      <c r="AA37" s="4" t="s">
        <v>45</v>
      </c>
    </row>
    <row r="38" spans="1:27" x14ac:dyDescent="0.3">
      <c r="A38" s="4" t="s">
        <v>46</v>
      </c>
      <c r="B38" s="4">
        <f t="shared" si="0"/>
        <v>2</v>
      </c>
      <c r="C38" s="4">
        <f t="shared" si="1"/>
        <v>25</v>
      </c>
      <c r="D38" s="4">
        <v>30</v>
      </c>
      <c r="E38" s="4" t="s">
        <v>25</v>
      </c>
      <c r="F38" s="4">
        <v>2</v>
      </c>
      <c r="G38" s="4">
        <v>4</v>
      </c>
      <c r="H38" s="4">
        <v>7</v>
      </c>
      <c r="I38" s="4">
        <v>5</v>
      </c>
      <c r="J38" s="4">
        <v>1</v>
      </c>
      <c r="K38" s="4">
        <v>3</v>
      </c>
      <c r="L38" s="4">
        <v>6</v>
      </c>
      <c r="M38" s="4" t="s">
        <v>25</v>
      </c>
      <c r="N38" s="4" t="s">
        <v>26</v>
      </c>
      <c r="O38" s="4" t="s">
        <v>27</v>
      </c>
      <c r="P38" s="4" t="s">
        <v>28</v>
      </c>
      <c r="Q38" s="4" t="s">
        <v>29</v>
      </c>
      <c r="R38" s="4" t="s">
        <v>30</v>
      </c>
      <c r="S38" s="4" t="s">
        <v>31</v>
      </c>
      <c r="T38" s="4">
        <f t="shared" si="2"/>
        <v>25</v>
      </c>
      <c r="U38" s="4" t="s">
        <v>49</v>
      </c>
      <c r="V38" s="4" t="s">
        <v>33</v>
      </c>
      <c r="W38" s="4" t="s">
        <v>27</v>
      </c>
      <c r="X38" s="4" t="s">
        <v>34</v>
      </c>
      <c r="Y38" s="4" t="s">
        <v>51</v>
      </c>
      <c r="Z38" s="4" t="s">
        <v>59</v>
      </c>
      <c r="AA38" s="4" t="s">
        <v>37</v>
      </c>
    </row>
    <row r="39" spans="1:27" x14ac:dyDescent="0.3">
      <c r="A39" s="4" t="s">
        <v>46</v>
      </c>
      <c r="B39" s="4">
        <f t="shared" si="0"/>
        <v>4</v>
      </c>
      <c r="C39" s="4">
        <f t="shared" si="1"/>
        <v>35</v>
      </c>
      <c r="D39" s="4">
        <v>25</v>
      </c>
      <c r="E39" s="4" t="s">
        <v>25</v>
      </c>
      <c r="F39" s="4">
        <v>5</v>
      </c>
      <c r="G39" s="4">
        <v>4</v>
      </c>
      <c r="H39" s="4">
        <v>7</v>
      </c>
      <c r="I39" s="4">
        <v>6</v>
      </c>
      <c r="J39" s="4">
        <v>1</v>
      </c>
      <c r="K39" s="4">
        <v>2</v>
      </c>
      <c r="L39" s="4">
        <v>3</v>
      </c>
      <c r="M39" s="4" t="s">
        <v>25</v>
      </c>
      <c r="N39" s="4" t="s">
        <v>60</v>
      </c>
      <c r="O39" s="4" t="s">
        <v>63</v>
      </c>
      <c r="P39" s="4" t="s">
        <v>64</v>
      </c>
      <c r="Q39" s="4" t="s">
        <v>47</v>
      </c>
      <c r="R39" s="4" t="s">
        <v>30</v>
      </c>
      <c r="S39" s="4" t="s">
        <v>61</v>
      </c>
      <c r="T39" s="4">
        <f t="shared" si="2"/>
        <v>35</v>
      </c>
      <c r="U39" s="4" t="s">
        <v>67</v>
      </c>
      <c r="V39" s="4" t="s">
        <v>42</v>
      </c>
      <c r="W39" s="4" t="s">
        <v>27</v>
      </c>
      <c r="X39" s="4" t="s">
        <v>34</v>
      </c>
      <c r="Y39" s="4" t="s">
        <v>35</v>
      </c>
      <c r="Z39" s="4" t="s">
        <v>36</v>
      </c>
      <c r="AA39" s="4" t="s">
        <v>45</v>
      </c>
    </row>
    <row r="40" spans="1:27" x14ac:dyDescent="0.3">
      <c r="A40" s="4" t="s">
        <v>46</v>
      </c>
      <c r="B40" s="4">
        <f t="shared" si="0"/>
        <v>2</v>
      </c>
      <c r="C40" s="4">
        <f t="shared" si="1"/>
        <v>25</v>
      </c>
      <c r="D40" s="4">
        <v>31</v>
      </c>
      <c r="E40" s="4" t="s">
        <v>25</v>
      </c>
      <c r="F40" s="4">
        <v>2</v>
      </c>
      <c r="G40" s="4">
        <v>4</v>
      </c>
      <c r="H40" s="4">
        <v>7</v>
      </c>
      <c r="I40" s="4">
        <v>5</v>
      </c>
      <c r="J40" s="4">
        <v>3</v>
      </c>
      <c r="K40" s="4">
        <v>1</v>
      </c>
      <c r="L40" s="4">
        <v>6</v>
      </c>
      <c r="M40" s="4" t="s">
        <v>25</v>
      </c>
      <c r="N40" s="4" t="s">
        <v>60</v>
      </c>
      <c r="O40" s="4" t="s">
        <v>63</v>
      </c>
      <c r="P40" s="4" t="s">
        <v>28</v>
      </c>
      <c r="Q40" s="4" t="s">
        <v>29</v>
      </c>
      <c r="R40" s="4" t="s">
        <v>41</v>
      </c>
      <c r="S40" s="4" t="s">
        <v>31</v>
      </c>
      <c r="T40" s="4">
        <f t="shared" si="2"/>
        <v>25</v>
      </c>
      <c r="U40" s="4" t="s">
        <v>49</v>
      </c>
      <c r="V40" s="4" t="s">
        <v>42</v>
      </c>
      <c r="W40" s="4" t="s">
        <v>43</v>
      </c>
      <c r="X40" s="4" t="s">
        <v>56</v>
      </c>
      <c r="Y40" s="4" t="s">
        <v>51</v>
      </c>
      <c r="Z40" s="4" t="s">
        <v>36</v>
      </c>
      <c r="AA40" s="4" t="s">
        <v>37</v>
      </c>
    </row>
    <row r="41" spans="1:27" x14ac:dyDescent="0.3">
      <c r="A41" s="4" t="s">
        <v>46</v>
      </c>
      <c r="B41" s="4">
        <f t="shared" si="0"/>
        <v>4</v>
      </c>
      <c r="C41" s="4">
        <f t="shared" si="1"/>
        <v>25</v>
      </c>
      <c r="D41" s="4">
        <v>29</v>
      </c>
      <c r="E41" s="4" t="s">
        <v>25</v>
      </c>
      <c r="F41" s="4">
        <v>4</v>
      </c>
      <c r="G41" s="4">
        <v>3</v>
      </c>
      <c r="H41" s="4">
        <v>5</v>
      </c>
      <c r="I41" s="4">
        <v>7</v>
      </c>
      <c r="J41" s="4">
        <v>2</v>
      </c>
      <c r="K41" s="4">
        <v>1</v>
      </c>
      <c r="L41" s="4">
        <v>6</v>
      </c>
      <c r="M41" s="4" t="s">
        <v>25</v>
      </c>
      <c r="N41" s="4" t="s">
        <v>26</v>
      </c>
      <c r="O41" s="4" t="s">
        <v>27</v>
      </c>
      <c r="P41" s="4" t="s">
        <v>28</v>
      </c>
      <c r="Q41" s="4" t="s">
        <v>47</v>
      </c>
      <c r="R41" s="4" t="s">
        <v>30</v>
      </c>
      <c r="S41" s="4" t="s">
        <v>31</v>
      </c>
      <c r="T41" s="4">
        <f t="shared" si="2"/>
        <v>25</v>
      </c>
      <c r="U41" s="4" t="s">
        <v>65</v>
      </c>
      <c r="V41" s="4" t="s">
        <v>33</v>
      </c>
      <c r="W41" s="4" t="s">
        <v>43</v>
      </c>
      <c r="X41" s="4" t="s">
        <v>34</v>
      </c>
      <c r="Y41" s="4" t="s">
        <v>35</v>
      </c>
      <c r="Z41" s="4" t="s">
        <v>36</v>
      </c>
      <c r="AA41" s="4" t="s">
        <v>45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Sheet4</vt:lpstr>
      <vt:lpstr>Data_set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keerthi nammi</cp:lastModifiedBy>
  <dcterms:created xsi:type="dcterms:W3CDTF">2026-03-15T07:05:47Z</dcterms:created>
  <dcterms:modified xsi:type="dcterms:W3CDTF">2026-03-15T09:15:34Z</dcterms:modified>
</cp:coreProperties>
</file>